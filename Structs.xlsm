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785" windowHeight="13140" activeTab="1"/>
  </bookViews>
  <sheets>
    <sheet name="FIleHeader" sheetId="1" r:id="rId1"/>
    <sheet name="Sheet1" sheetId="2" r:id="rId2"/>
  </sheets>
  <calcPr calcId="144525"/>
</workbook>
</file>

<file path=xl/sharedStrings.xml><?xml version="1.0" encoding="utf-8"?>
<sst xmlns="http://schemas.openxmlformats.org/spreadsheetml/2006/main" count="83">
  <si>
    <t>FileHeader</t>
  </si>
  <si>
    <t>MarkDown</t>
  </si>
  <si>
    <t>Offset</t>
  </si>
  <si>
    <t>HEX</t>
  </si>
  <si>
    <t>Type</t>
  </si>
  <si>
    <t>Name</t>
  </si>
  <si>
    <t>Description</t>
  </si>
  <si>
    <t>Bound</t>
  </si>
  <si>
    <t>ToMax</t>
  </si>
  <si>
    <t>3433444D</t>
  </si>
  <si>
    <t>String</t>
  </si>
  <si>
    <t>FileID</t>
  </si>
  <si>
    <t>M3文件类型标识</t>
  </si>
  <si>
    <t>"MD33","MD34"</t>
  </si>
  <si>
    <t>10270000</t>
  </si>
  <si>
    <t>Long</t>
  </si>
  <si>
    <t>TagAddr</t>
  </si>
  <si>
    <t>TagStruct入口地址</t>
  </si>
  <si>
    <t>34000000</t>
  </si>
  <si>
    <t>TagCount</t>
  </si>
  <si>
    <t>TagStruct数量</t>
  </si>
  <si>
    <t>[0,...]</t>
  </si>
  <si>
    <t>01000000</t>
  </si>
  <si>
    <t>00000000</t>
  </si>
  <si>
    <t>TagRef</t>
  </si>
  <si>
    <t>TagRef-&gt;ModelInfo(Struct:MODL)</t>
  </si>
  <si>
    <t>ModelInfo</t>
  </si>
  <si>
    <t>02000000</t>
  </si>
  <si>
    <t>TagRef-&gt;MaxFilePath(String)</t>
  </si>
  <si>
    <t>53180800</t>
  </si>
  <si>
    <t>Flags</t>
  </si>
  <si>
    <t>VertexID</t>
  </si>
  <si>
    <t>顶点类型标识</t>
  </si>
  <si>
    <t>03000000</t>
  </si>
  <si>
    <t>TagRef-&gt;Sequence(Struct:SEQS)</t>
  </si>
  <si>
    <t>05000000</t>
  </si>
  <si>
    <t>TagRef-&gt;SeqTransCollection(Struct:STC)</t>
  </si>
  <si>
    <t>0D000000</t>
  </si>
  <si>
    <t>TagRef-&gt;SeqTransGroup(Struct:STG)</t>
  </si>
  <si>
    <t>10000000</t>
  </si>
  <si>
    <t>TagRef-&gt;SeqTransSet(Struct:STS)</t>
  </si>
  <si>
    <t>12000000</t>
  </si>
  <si>
    <t>SkinnedBones</t>
  </si>
  <si>
    <t>蒙皮骨骼数量</t>
  </si>
  <si>
    <t>7D008201</t>
  </si>
  <si>
    <t>VertexFlags</t>
  </si>
  <si>
    <t>记录UVLayout的数量</t>
  </si>
  <si>
    <t>00030000</t>
  </si>
  <si>
    <t>14000000</t>
  </si>
  <si>
    <t>TagRef-&gt;Vertex(Struct:U8)</t>
  </si>
  <si>
    <t>15000000</t>
  </si>
  <si>
    <t>TagRef-&gt;Division(Struct:DIV)</t>
  </si>
  <si>
    <t>1A000000</t>
  </si>
  <si>
    <t>TagRef-&gt;BoneLookup(Struct:U16)</t>
  </si>
  <si>
    <t>999999BD</t>
  </si>
  <si>
    <t>BndSphere</t>
  </si>
  <si>
    <t>9999993D</t>
  </si>
  <si>
    <t>9999193E</t>
  </si>
  <si>
    <t>8105053E</t>
  </si>
  <si>
    <t>01 00 00 00</t>
  </si>
  <si>
    <t>02 00 00 00</t>
  </si>
  <si>
    <t>00 00 00 00</t>
  </si>
  <si>
    <t>53 18 08 00</t>
  </si>
  <si>
    <t>03 00 00 00</t>
  </si>
  <si>
    <t>05 00 00 00</t>
  </si>
  <si>
    <t>0D 00 00 00</t>
  </si>
  <si>
    <t>10 00 00 00</t>
  </si>
  <si>
    <t>12 00 00 00</t>
  </si>
  <si>
    <t>7D 00 82 01</t>
  </si>
  <si>
    <t>00 03 00 00</t>
  </si>
  <si>
    <t>14 00 00 00</t>
  </si>
  <si>
    <t>15 00 00 00</t>
  </si>
  <si>
    <t>1A 00 00 00</t>
  </si>
  <si>
    <t>99 99 99 BD</t>
  </si>
  <si>
    <t>99 99 99 3D</t>
  </si>
  <si>
    <t>99 99 19 3E</t>
  </si>
  <si>
    <t>81 05 05 3E</t>
  </si>
  <si>
    <t>1B 00 00 00</t>
  </si>
  <si>
    <t>1C 00 00 00</t>
  </si>
  <si>
    <t>33 00 00 00</t>
  </si>
  <si>
    <t>FF FF 00 00</t>
  </si>
  <si>
    <t>00 00 80 3F</t>
  </si>
  <si>
    <t>74 C0 7E 0C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</si>
</sst>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&quot;0x&quot;0"/>
    <numFmt numFmtId="177" formatCode="\(0\)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1">
    <font>
      <sz val="11"/>
      <color rgb="FF000000"/>
      <name val="宋体"/>
      <charset val="134"/>
    </font>
    <font>
      <b/>
      <sz val="11"/>
      <color rgb="FF000000"/>
      <name val="宋体"/>
      <charset val="134"/>
    </font>
    <font>
      <sz val="11"/>
      <color rgb="FF000000"/>
      <name val="宋体"/>
      <charset val="0"/>
    </font>
    <font>
      <sz val="11"/>
      <color rgb="FFFF0000"/>
      <name val="宋体"/>
      <charset val="0"/>
    </font>
    <font>
      <sz val="11"/>
      <color rgb="FF9C0006"/>
      <name val="宋体"/>
      <charset val="0"/>
    </font>
    <font>
      <sz val="11"/>
      <color rgb="FFFFFFFF"/>
      <name val="宋体"/>
      <charset val="0"/>
    </font>
    <font>
      <b/>
      <sz val="11"/>
      <color rgb="FF44546A"/>
      <name val="宋体"/>
      <charset val="134"/>
    </font>
    <font>
      <sz val="11"/>
      <color rgb="FF006100"/>
      <name val="宋体"/>
      <charset val="0"/>
    </font>
    <font>
      <b/>
      <sz val="11"/>
      <color rgb="FF3F3F3F"/>
      <name val="宋体"/>
      <charset val="0"/>
    </font>
    <font>
      <b/>
      <sz val="18"/>
      <color rgb="FF44546A"/>
      <name val="宋体"/>
      <charset val="134"/>
    </font>
    <font>
      <sz val="11"/>
      <color rgb="FF3F3F76"/>
      <name val="宋体"/>
      <charset val="0"/>
    </font>
    <font>
      <sz val="11"/>
      <color rgb="FFFA7D00"/>
      <name val="宋体"/>
      <charset val="0"/>
    </font>
    <font>
      <i/>
      <sz val="11"/>
      <color rgb="FF7F7F7F"/>
      <name val="宋体"/>
      <charset val="0"/>
    </font>
    <font>
      <u/>
      <sz val="11"/>
      <color rgb="FF800080"/>
      <name val="宋体"/>
      <charset val="0"/>
    </font>
    <font>
      <b/>
      <sz val="11"/>
      <color rgb="FFFA7D00"/>
      <name val="宋体"/>
      <charset val="0"/>
    </font>
    <font>
      <b/>
      <sz val="15"/>
      <color rgb="FF44546A"/>
      <name val="宋体"/>
      <charset val="134"/>
    </font>
    <font>
      <sz val="11"/>
      <color rgb="FF9C6500"/>
      <name val="宋体"/>
      <charset val="0"/>
    </font>
    <font>
      <u/>
      <sz val="11"/>
      <color rgb="FF0000FF"/>
      <name val="宋体"/>
      <charset val="0"/>
    </font>
    <font>
      <b/>
      <sz val="11"/>
      <color rgb="FF000000"/>
      <name val="宋体"/>
      <charset val="0"/>
    </font>
    <font>
      <b/>
      <sz val="11"/>
      <color rgb="FFFFFFFF"/>
      <name val="宋体"/>
      <charset val="0"/>
    </font>
    <font>
      <b/>
      <sz val="13"/>
      <color rgb="FF44546A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ACCCE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rgb="FF5B9BD5"/>
      </bottom>
      <diagonal/>
    </border>
    <border>
      <left/>
      <right/>
      <top style="thin">
        <color rgb="FF5B9BD5"/>
      </top>
      <bottom style="double">
        <color rgb="FF5B9BD5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0" fillId="17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2" borderId="6" applyNumberFormat="0" applyFont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8" fillId="16" borderId="7" applyNumberFormat="0" applyAlignment="0" applyProtection="0">
      <alignment vertical="center"/>
    </xf>
    <xf numFmtId="0" fontId="14" fillId="16" borderId="8" applyNumberFormat="0" applyAlignment="0" applyProtection="0">
      <alignment vertical="center"/>
    </xf>
    <xf numFmtId="0" fontId="19" fillId="14" borderId="12" applyNumberFormat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</cellStyleXfs>
  <cellXfs count="18">
    <xf numFmtId="0" fontId="0" fillId="0" borderId="0" xfId="0" applyNumberFormat="1" applyFont="1" applyFill="1" applyBorder="1" applyAlignment="1" applyProtection="1">
      <alignment vertical="center"/>
    </xf>
    <xf numFmtId="176" fontId="0" fillId="0" borderId="0" xfId="0" applyNumberFormat="1" applyFont="1" applyFill="1" applyBorder="1" applyAlignment="1" applyProtection="1">
      <alignment vertical="center"/>
    </xf>
    <xf numFmtId="177" fontId="0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2" borderId="0" xfId="0" applyNumberFormat="1" applyFont="1" applyFill="1" applyBorder="1" applyAlignment="1" applyProtection="1">
      <alignment vertical="center"/>
    </xf>
    <xf numFmtId="176" fontId="1" fillId="0" borderId="0" xfId="0" applyNumberFormat="1" applyFont="1" applyFill="1" applyBorder="1" applyAlignment="1" applyProtection="1">
      <alignment vertical="center"/>
    </xf>
    <xf numFmtId="176" fontId="0" fillId="0" borderId="1" xfId="0" applyNumberFormat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NumberFormat="1" applyFont="1" applyFill="1" applyBorder="1" applyAlignment="1" applyProtection="1">
      <alignment vertical="center"/>
    </xf>
    <xf numFmtId="176" fontId="0" fillId="0" borderId="1" xfId="0" applyNumberFormat="1" applyFont="1" applyFill="1" applyBorder="1" applyAlignment="1" applyProtection="1">
      <alignment vertical="center"/>
    </xf>
    <xf numFmtId="177" fontId="0" fillId="0" borderId="1" xfId="0" applyNumberFormat="1" applyFont="1" applyFill="1" applyBorder="1" applyAlignment="1" applyProtection="1">
      <alignment vertical="center"/>
    </xf>
    <xf numFmtId="49" fontId="0" fillId="0" borderId="1" xfId="0" applyNumberFormat="1" applyFont="1" applyFill="1" applyBorder="1" applyAlignment="1" applyProtection="1">
      <alignment vertical="center"/>
    </xf>
    <xf numFmtId="49" fontId="0" fillId="0" borderId="1" xfId="0" applyNumberFormat="1" applyBorder="1" applyAlignment="1">
      <alignment vertical="center"/>
    </xf>
    <xf numFmtId="49" fontId="0" fillId="0" borderId="2" xfId="0" applyNumberFormat="1" applyFont="1" applyFill="1" applyBorder="1" applyAlignment="1" applyProtection="1">
      <alignment vertical="center"/>
    </xf>
    <xf numFmtId="49" fontId="0" fillId="0" borderId="3" xfId="0" applyNumberFormat="1" applyFont="1" applyFill="1" applyBorder="1" applyAlignment="1" applyProtection="1">
      <alignment vertical="center"/>
    </xf>
    <xf numFmtId="49" fontId="0" fillId="0" borderId="4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H37"/>
  <sheetViews>
    <sheetView workbookViewId="0">
      <selection activeCell="C10" sqref="C10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7" width="10.875" customWidth="1"/>
    <col min="8" max="8" width="20.125" customWidth="1"/>
    <col min="9" max="9" width="58.875" customWidth="1"/>
    <col min="10" max="10" width="15.125" customWidth="1"/>
    <col min="12" max="12" width="3.625" style="4" customWidth="1"/>
  </cols>
  <sheetData>
    <row r="1" customHeight="1" spans="1:13">
      <c r="A1" s="5" t="s">
        <v>0</v>
      </c>
      <c r="M1" s="17" t="s">
        <v>1</v>
      </c>
    </row>
    <row r="2" customHeight="1" spans="1:13">
      <c r="A2" s="6" t="s">
        <v>2</v>
      </c>
      <c r="B2" s="7"/>
      <c r="C2" s="8" t="s">
        <v>3</v>
      </c>
      <c r="D2" s="8"/>
      <c r="E2" s="8"/>
      <c r="F2" s="8"/>
      <c r="G2" s="9" t="s">
        <v>4</v>
      </c>
      <c r="H2" s="9" t="s">
        <v>5</v>
      </c>
      <c r="I2" s="9" t="s">
        <v>6</v>
      </c>
      <c r="J2" s="9" t="s">
        <v>7</v>
      </c>
      <c r="K2" s="9" t="s">
        <v>8</v>
      </c>
      <c r="M2" t="str">
        <f>TO_HTML_TABLE(A2:K2)</f>
        <v>&lt;tr&gt;&lt;td colspan="2"&gt;Offset&lt;/td&gt;&lt;td colspan="4"&gt;HEX&lt;/td&gt;&lt;td&gt;Type&lt;/td&gt;&lt;td&gt;Name&lt;/td&gt;&lt;td&gt;Description&lt;/td&gt;&lt;td&gt;Bound&lt;/td&gt;&lt;td&gt;ToMax&lt;/td&gt;&lt;/tr&gt;</v>
      </c>
    </row>
    <row r="3" customHeight="1" spans="1:13">
      <c r="A3" s="10" t="str">
        <f>"0x"&amp;DEC2HEX(B3,8)</f>
        <v>0x00000000</v>
      </c>
      <c r="B3" s="11">
        <f>0</f>
        <v>0</v>
      </c>
      <c r="C3" s="12" t="s">
        <v>9</v>
      </c>
      <c r="D3" s="12"/>
      <c r="E3" s="12"/>
      <c r="F3" s="12"/>
      <c r="G3" s="9" t="s">
        <v>10</v>
      </c>
      <c r="H3" s="9" t="s">
        <v>11</v>
      </c>
      <c r="I3" s="9" t="s">
        <v>12</v>
      </c>
      <c r="J3" s="9" t="s">
        <v>13</v>
      </c>
      <c r="K3" s="9"/>
      <c r="M3" t="str">
        <f>TO_HTML_TABLE(A3:K3)</f>
        <v>&lt;tr&gt;&lt;td&gt;0x00000000&lt;/td&gt;&lt;td&gt;(0)&lt;/td&gt;&lt;td&gt;3433444D&lt;/td&gt;&lt;td&gt;&lt;/td&gt;&lt;td&gt;&lt;/td&gt;&lt;td&gt;&lt;/td&gt;&lt;td&gt;String&lt;/td&gt;&lt;td&gt;FileID&lt;/td&gt;&lt;td&gt;M3文件类型标识&lt;/td&gt;&lt;td&gt;"MD33","MD34"&lt;/td&gt;&lt;td&gt;&lt;/td&gt;&lt;/tr&gt;</v>
      </c>
    </row>
    <row r="4" customHeight="1" spans="1:13">
      <c r="A4" s="10" t="str">
        <f>"0x"&amp;DEC2HEX(B4,8)</f>
        <v>0x00000004</v>
      </c>
      <c r="B4" s="11">
        <f>IF(ISBLANK(C3),,4)+IF(ISBLANK(D3),,4)+IF(ISBLANK(E3),,4)+IF(ISBLANK(F3),,4)+B3</f>
        <v>4</v>
      </c>
      <c r="C4" s="12" t="s">
        <v>14</v>
      </c>
      <c r="D4" s="12"/>
      <c r="E4" s="12"/>
      <c r="F4" s="12"/>
      <c r="G4" s="9" t="s">
        <v>15</v>
      </c>
      <c r="H4" s="9" t="s">
        <v>16</v>
      </c>
      <c r="I4" s="9" t="s">
        <v>17</v>
      </c>
      <c r="J4" s="9"/>
      <c r="K4" s="9"/>
      <c r="M4" t="str">
        <f>TO_HTML_TABLE(A4:K4)</f>
        <v>&lt;tr&gt;&lt;td&gt;0x00000004&lt;/td&gt;&lt;td&gt;(4)&lt;/td&gt;&lt;td&gt;10270000&lt;/td&gt;&lt;td&gt;&lt;/td&gt;&lt;td&gt;&lt;/td&gt;&lt;td&gt;&lt;/td&gt;&lt;td&gt;Long&lt;/td&gt;&lt;td&gt;TagAddr&lt;/td&gt;&lt;td&gt;TagStruct入口地址&lt;/td&gt;&lt;td&gt;&lt;/td&gt;&lt;td&gt;&lt;/td&gt;&lt;/tr&gt;</v>
      </c>
    </row>
    <row r="5" customHeight="1" spans="1:13">
      <c r="A5" s="10" t="str">
        <f t="shared" ref="A5:A15" si="0">"0x"&amp;DEC2HEX(B5,8)</f>
        <v>0x00000008</v>
      </c>
      <c r="B5" s="11">
        <f>IF(ISBLANK(C4),,4)+IF(ISBLANK(D4),,4)+IF(ISBLANK(E4),,4)+IF(ISBLANK(F4),,4)+B4</f>
        <v>8</v>
      </c>
      <c r="C5" s="12" t="s">
        <v>18</v>
      </c>
      <c r="D5" s="12"/>
      <c r="E5" s="12"/>
      <c r="F5" s="12"/>
      <c r="G5" s="9" t="s">
        <v>15</v>
      </c>
      <c r="H5" s="9" t="s">
        <v>19</v>
      </c>
      <c r="I5" s="9" t="s">
        <v>20</v>
      </c>
      <c r="J5" s="9" t="s">
        <v>21</v>
      </c>
      <c r="K5" s="9"/>
      <c r="M5" t="str">
        <f>TO_HTML_TABLE(A5:K5)</f>
        <v>&lt;tr&gt;&lt;td&gt;0x00000008&lt;/td&gt;&lt;td&gt;(8)&lt;/td&gt;&lt;td&gt;34000000&lt;/td&gt;&lt;td&gt;&lt;/td&gt;&lt;td&gt;&lt;/td&gt;&lt;td&gt;&lt;/td&gt;&lt;td&gt;Long&lt;/td&gt;&lt;td&gt;TagCount&lt;/td&gt;&lt;td&gt;TagStruct数量&lt;/td&gt;&lt;td&gt;[0,...]&lt;/td&gt;&lt;td&gt;&lt;/td&gt;&lt;/tr&gt;</v>
      </c>
    </row>
    <row r="6" customHeight="1" spans="1:13">
      <c r="A6" s="10" t="str">
        <f t="shared" si="0"/>
        <v>0x0000000C</v>
      </c>
      <c r="B6" s="11">
        <f>IF(ISBLANK(C5),,4)+IF(ISBLANK(D5),,4)+IF(ISBLANK(E5),,4)+IF(ISBLANK(F5),,4)+B5</f>
        <v>12</v>
      </c>
      <c r="C6" s="13" t="s">
        <v>22</v>
      </c>
      <c r="D6" s="12" t="s">
        <v>22</v>
      </c>
      <c r="E6" s="12" t="s">
        <v>23</v>
      </c>
      <c r="F6" s="12"/>
      <c r="G6" s="9" t="s">
        <v>24</v>
      </c>
      <c r="H6" s="12"/>
      <c r="I6" s="9" t="s">
        <v>25</v>
      </c>
      <c r="J6" s="9"/>
      <c r="K6" s="9"/>
      <c r="M6" t="str">
        <f>TO_HTML_TABLE(A6:K6)</f>
        <v>&lt;tr&gt;&lt;td&gt;0x0000000C&lt;/td&gt;&lt;td&gt;(12)&lt;/td&gt;&lt;td&gt;01000000&lt;/td&gt;&lt;td&gt;01000000&lt;/td&gt;&lt;td&gt;00000000&lt;/td&gt;&lt;td&gt;&lt;/td&gt;&lt;td&gt;TagRef&lt;/td&gt;&lt;td&gt;&lt;/td&gt;&lt;td&gt;TagRef-&gt;ModelInfo(Struct:MODL)&lt;/td&gt;&lt;td&gt;&lt;/td&gt;&lt;td&gt;&lt;/td&gt;&lt;/tr&gt;</v>
      </c>
    </row>
    <row r="8" customHeight="1" spans="1:1">
      <c r="A8" s="5" t="s">
        <v>26</v>
      </c>
    </row>
    <row r="9" customHeight="1" spans="1:13">
      <c r="A9" s="6" t="s">
        <v>2</v>
      </c>
      <c r="B9" s="7"/>
      <c r="C9" s="8" t="s">
        <v>3</v>
      </c>
      <c r="D9" s="8"/>
      <c r="E9" s="8"/>
      <c r="F9" s="8"/>
      <c r="G9" s="9" t="s">
        <v>4</v>
      </c>
      <c r="H9" s="9" t="s">
        <v>5</v>
      </c>
      <c r="I9" s="9" t="s">
        <v>6</v>
      </c>
      <c r="J9" s="9" t="s">
        <v>7</v>
      </c>
      <c r="K9" s="9" t="s">
        <v>8</v>
      </c>
      <c r="M9" t="str">
        <f>TO_HTML_TABLE(A9:K9)</f>
        <v>&lt;tr&gt;&lt;td colspan="2"&gt;Offset&lt;/td&gt;&lt;td colspan="4"&gt;HEX&lt;/td&gt;&lt;td&gt;Type&lt;/td&gt;&lt;td&gt;Name&lt;/td&gt;&lt;td&gt;Description&lt;/td&gt;&lt;td&gt;Bound&lt;/td&gt;&lt;td&gt;ToMax&lt;/td&gt;&lt;/tr&gt;</v>
      </c>
    </row>
    <row r="10" customHeight="1" spans="1:13">
      <c r="A10" s="10" t="str">
        <f t="shared" si="0"/>
        <v>0x00000000</v>
      </c>
      <c r="B10" s="11">
        <f>0</f>
        <v>0</v>
      </c>
      <c r="C10" s="12" t="s">
        <v>22</v>
      </c>
      <c r="D10" s="12" t="s">
        <v>27</v>
      </c>
      <c r="E10" s="12" t="s">
        <v>23</v>
      </c>
      <c r="F10" s="12"/>
      <c r="G10" s="9" t="s">
        <v>24</v>
      </c>
      <c r="H10" s="12"/>
      <c r="I10" s="9" t="s">
        <v>28</v>
      </c>
      <c r="J10" s="9"/>
      <c r="K10" s="9"/>
      <c r="M10" t="str">
        <f>TO_HTML_TABLE(A10:K10)</f>
        <v>&lt;tr&gt;&lt;td&gt;0x00000000&lt;/td&gt;&lt;td&gt;(0)&lt;/td&gt;&lt;td&gt;01000000&lt;/td&gt;&lt;td&gt;02000000&lt;/td&gt;&lt;td&gt;00000000&lt;/td&gt;&lt;td&gt;&lt;/td&gt;&lt;td&gt;TagRef&lt;/td&gt;&lt;td&gt;&lt;/td&gt;&lt;td&gt;TagRef-&gt;MaxFilePath(String)&lt;/td&gt;&lt;td&gt;&lt;/td&gt;&lt;td&gt;&lt;/td&gt;&lt;/tr&gt;</v>
      </c>
    </row>
    <row r="11" customHeight="1" spans="1:13">
      <c r="A11" s="10" t="str">
        <f t="shared" si="0"/>
        <v>0x0000000C</v>
      </c>
      <c r="B11" s="11">
        <f>IF(ISBLANK(C10),,4)+IF(ISBLANK(D10),,4)+IF(ISBLANK(E10),,4)+IF(ISBLANK(F10),,4)+B10</f>
        <v>12</v>
      </c>
      <c r="C11" s="12" t="s">
        <v>29</v>
      </c>
      <c r="D11" s="12"/>
      <c r="E11" s="12"/>
      <c r="F11" s="12"/>
      <c r="G11" s="9" t="s">
        <v>30</v>
      </c>
      <c r="H11" s="9" t="s">
        <v>31</v>
      </c>
      <c r="I11" s="9" t="s">
        <v>32</v>
      </c>
      <c r="J11" s="9"/>
      <c r="K11" s="9"/>
      <c r="M11" t="str">
        <f>TO_HTML_TABLE(A11:K11)</f>
        <v>&lt;tr&gt;&lt;td&gt;0x0000000C&lt;/td&gt;&lt;td&gt;(12)&lt;/td&gt;&lt;td&gt;53180800&lt;/td&gt;&lt;td&gt;&lt;/td&gt;&lt;td&gt;&lt;/td&gt;&lt;td&gt;&lt;/td&gt;&lt;td&gt;Flags&lt;/td&gt;&lt;td&gt;VertexID&lt;/td&gt;&lt;td&gt;顶点类型标识&lt;/td&gt;&lt;td&gt;&lt;/td&gt;&lt;td&gt;&lt;/td&gt;&lt;/tr&gt;</v>
      </c>
    </row>
    <row r="12" customHeight="1" spans="1:13">
      <c r="A12" s="10" t="str">
        <f t="shared" si="0"/>
        <v>0x00000010</v>
      </c>
      <c r="B12" s="11">
        <f>IF(ISBLANK(C11),,4)+IF(ISBLANK(D11),,4)+IF(ISBLANK(E11),,4)+IF(ISBLANK(F11),,4)+B11</f>
        <v>16</v>
      </c>
      <c r="C12" s="12" t="s">
        <v>22</v>
      </c>
      <c r="D12" s="12" t="s">
        <v>33</v>
      </c>
      <c r="E12" s="12" t="s">
        <v>23</v>
      </c>
      <c r="F12" s="12"/>
      <c r="G12" s="9" t="s">
        <v>24</v>
      </c>
      <c r="H12" s="12"/>
      <c r="I12" s="9" t="s">
        <v>34</v>
      </c>
      <c r="J12" s="9"/>
      <c r="K12" s="9"/>
      <c r="M12" t="str">
        <f>TO_HTML_TABLE(A12:K12)</f>
        <v>&lt;tr&gt;&lt;td&gt;0x00000010&lt;/td&gt;&lt;td&gt;(16)&lt;/td&gt;&lt;td&gt;01000000&lt;/td&gt;&lt;td&gt;03000000&lt;/td&gt;&lt;td&gt;00000000&lt;/td&gt;&lt;td&gt;&lt;/td&gt;&lt;td&gt;TagRef&lt;/td&gt;&lt;td&gt;&lt;/td&gt;&lt;td&gt;TagRef-&gt;Sequence(Struct:SEQS)&lt;/td&gt;&lt;td&gt;&lt;/td&gt;&lt;td&gt;&lt;/td&gt;&lt;/tr&gt;</v>
      </c>
    </row>
    <row r="13" customHeight="1" spans="1:13">
      <c r="A13" s="10" t="str">
        <f t="shared" si="0"/>
        <v>0x0000001C</v>
      </c>
      <c r="B13" s="11">
        <f>IF(ISBLANK(C12),,4)+IF(ISBLANK(D12),,4)+IF(ISBLANK(E12),,4)+IF(ISBLANK(F12),,4)+B12</f>
        <v>28</v>
      </c>
      <c r="C13" s="12" t="s">
        <v>22</v>
      </c>
      <c r="D13" s="12" t="s">
        <v>35</v>
      </c>
      <c r="E13" s="12" t="s">
        <v>23</v>
      </c>
      <c r="F13" s="12"/>
      <c r="G13" s="9" t="s">
        <v>24</v>
      </c>
      <c r="H13" s="12"/>
      <c r="I13" s="9" t="s">
        <v>36</v>
      </c>
      <c r="J13" s="9"/>
      <c r="K13" s="9"/>
      <c r="M13" t="str">
        <f>TO_HTML_TABLE(A13:K13)</f>
        <v>&lt;tr&gt;&lt;td&gt;0x0000001C&lt;/td&gt;&lt;td&gt;(28)&lt;/td&gt;&lt;td&gt;01000000&lt;/td&gt;&lt;td&gt;05000000&lt;/td&gt;&lt;td&gt;00000000&lt;/td&gt;&lt;td&gt;&lt;/td&gt;&lt;td&gt;TagRef&lt;/td&gt;&lt;td&gt;&lt;/td&gt;&lt;td&gt;TagRef-&gt;SeqTransCollection(Struct:STC)&lt;/td&gt;&lt;td&gt;&lt;/td&gt;&lt;td&gt;&lt;/td&gt;&lt;/tr&gt;</v>
      </c>
    </row>
    <row r="14" customHeight="1" spans="1:13">
      <c r="A14" s="10" t="str">
        <f t="shared" si="0"/>
        <v>0x00000028</v>
      </c>
      <c r="B14" s="11">
        <f>IF(ISBLANK(C13),,4)+IF(ISBLANK(D13),,4)+IF(ISBLANK(E13),,4)+IF(ISBLANK(F13),,4)+B13</f>
        <v>40</v>
      </c>
      <c r="C14" s="12" t="s">
        <v>22</v>
      </c>
      <c r="D14" s="12" t="s">
        <v>37</v>
      </c>
      <c r="E14" s="12" t="s">
        <v>23</v>
      </c>
      <c r="F14" s="12"/>
      <c r="G14" s="9" t="s">
        <v>24</v>
      </c>
      <c r="H14" s="12"/>
      <c r="I14" s="9" t="s">
        <v>38</v>
      </c>
      <c r="J14" s="9"/>
      <c r="K14" s="9"/>
      <c r="M14" t="str">
        <f>TO_HTML_TABLE(A14:K14)</f>
        <v>&lt;tr&gt;&lt;td&gt;0x00000028&lt;/td&gt;&lt;td&gt;(40)&lt;/td&gt;&lt;td&gt;01000000&lt;/td&gt;&lt;td&gt;0D000000&lt;/td&gt;&lt;td&gt;00000000&lt;/td&gt;&lt;td&gt;&lt;/td&gt;&lt;td&gt;TagRef&lt;/td&gt;&lt;td&gt;&lt;/td&gt;&lt;td&gt;TagRef-&gt;SeqTransGroup(Struct:STG)&lt;/td&gt;&lt;td&gt;&lt;/td&gt;&lt;td&gt;&lt;/td&gt;&lt;/tr&gt;</v>
      </c>
    </row>
    <row r="15" customHeight="1" spans="1:13">
      <c r="A15" s="10" t="str">
        <f t="shared" si="0"/>
        <v>0x00000034</v>
      </c>
      <c r="B15" s="11">
        <f>IF(ISBLANK(C14),,4)+IF(ISBLANK(D14),,4)+IF(ISBLANK(E14),,4)+IF(ISBLANK(F14),,4)+B14</f>
        <v>52</v>
      </c>
      <c r="C15" s="12" t="s">
        <v>23</v>
      </c>
      <c r="D15" s="12" t="s">
        <v>23</v>
      </c>
      <c r="E15" s="12" t="s">
        <v>23</v>
      </c>
      <c r="F15" s="12" t="s">
        <v>23</v>
      </c>
      <c r="G15" s="12"/>
      <c r="H15" s="12"/>
      <c r="I15" s="9"/>
      <c r="J15" s="9"/>
      <c r="K15" s="9"/>
      <c r="M15" t="str">
        <f>TO_HTML_TABLE(A15:K15)</f>
        <v>&lt;tr&gt;&lt;td&gt;0x00000034&lt;/td&gt;&lt;td&gt;(52)&lt;/td&gt;&lt;td&gt;00000000&lt;/td&gt;&lt;td&gt;00000000&lt;/td&gt;&lt;td&gt;00000000&lt;/td&gt;&lt;td&gt;00000000&lt;/td&gt;&lt;td&gt;&lt;/td&gt;&lt;td&gt;&lt;/td&gt;&lt;td&gt;&lt;/td&gt;&lt;td&gt;&lt;/td&gt;&lt;td&gt;&lt;/td&gt;&lt;/tr&gt;</v>
      </c>
    </row>
    <row r="16" customHeight="1" spans="1:13">
      <c r="A16" s="10" t="str">
        <f t="shared" ref="A16:A37" si="1">"0x"&amp;DEC2HEX(B16,8)</f>
        <v>0x00000044</v>
      </c>
      <c r="B16" s="11">
        <f t="shared" ref="B16:B37" si="2">IF(ISBLANK(C15),,4)+IF(ISBLANK(D15),,4)+IF(ISBLANK(E15),,4)+IF(ISBLANK(F15),,4)+B15</f>
        <v>68</v>
      </c>
      <c r="C16" s="12" t="s">
        <v>22</v>
      </c>
      <c r="D16" s="12" t="s">
        <v>39</v>
      </c>
      <c r="E16" s="12" t="s">
        <v>23</v>
      </c>
      <c r="F16" s="12"/>
      <c r="G16" s="9" t="s">
        <v>24</v>
      </c>
      <c r="H16" s="12"/>
      <c r="I16" s="9" t="s">
        <v>40</v>
      </c>
      <c r="J16" s="9"/>
      <c r="K16" s="9"/>
      <c r="M16" t="str">
        <f>TO_HTML_TABLE(A16:K16)</f>
        <v>&lt;tr&gt;&lt;td&gt;0x00000044&lt;/td&gt;&lt;td&gt;(68)&lt;/td&gt;&lt;td&gt;01000000&lt;/td&gt;&lt;td&gt;10000000&lt;/td&gt;&lt;td&gt;00000000&lt;/td&gt;&lt;td&gt;&lt;/td&gt;&lt;td&gt;TagRef&lt;/td&gt;&lt;td&gt;&lt;/td&gt;&lt;td&gt;TagRef-&gt;SeqTransSet(Struct:STS)&lt;/td&gt;&lt;td&gt;&lt;/td&gt;&lt;td&gt;&lt;/td&gt;&lt;/tr&gt;</v>
      </c>
    </row>
    <row r="17" customHeight="1" spans="1:13">
      <c r="A17" s="10" t="str">
        <f t="shared" si="1"/>
        <v>0x00000050</v>
      </c>
      <c r="B17" s="11">
        <f t="shared" si="2"/>
        <v>80</v>
      </c>
      <c r="C17" s="12" t="s">
        <v>22</v>
      </c>
      <c r="D17" s="12" t="s">
        <v>41</v>
      </c>
      <c r="E17" s="12" t="s">
        <v>23</v>
      </c>
      <c r="F17" s="12"/>
      <c r="G17" s="9" t="s">
        <v>24</v>
      </c>
      <c r="H17" s="12"/>
      <c r="I17" s="9" t="s">
        <v>38</v>
      </c>
      <c r="J17" s="9"/>
      <c r="K17" s="9"/>
      <c r="M17" t="str">
        <f>TO_HTML_TABLE(A17:K17)</f>
        <v>&lt;tr&gt;&lt;td&gt;0x00000050&lt;/td&gt;&lt;td&gt;(80)&lt;/td&gt;&lt;td&gt;01000000&lt;/td&gt;&lt;td&gt;12000000&lt;/td&gt;&lt;td&gt;00000000&lt;/td&gt;&lt;td&gt;&lt;/td&gt;&lt;td&gt;TagRef&lt;/td&gt;&lt;td&gt;&lt;/td&gt;&lt;td&gt;TagRef-&gt;SeqTransGroup(Struct:STG)&lt;/td&gt;&lt;td&gt;&lt;/td&gt;&lt;td&gt;&lt;/td&gt;&lt;/tr&gt;</v>
      </c>
    </row>
    <row r="18" customHeight="1" spans="1:13">
      <c r="A18" s="10" t="str">
        <f t="shared" si="1"/>
        <v>0x0000005C</v>
      </c>
      <c r="B18" s="11">
        <f t="shared" si="2"/>
        <v>92</v>
      </c>
      <c r="C18" s="12" t="s">
        <v>22</v>
      </c>
      <c r="D18" s="12"/>
      <c r="E18" s="12"/>
      <c r="F18" s="12"/>
      <c r="G18" s="9" t="s">
        <v>15</v>
      </c>
      <c r="H18" s="9" t="s">
        <v>42</v>
      </c>
      <c r="I18" s="9" t="s">
        <v>43</v>
      </c>
      <c r="J18" s="9" t="s">
        <v>21</v>
      </c>
      <c r="K18" s="9"/>
      <c r="M18" t="str">
        <f>TO_HTML_TABLE(A18:K18)</f>
        <v>&lt;tr&gt;&lt;td&gt;0x0000005C&lt;/td&gt;&lt;td&gt;(92)&lt;/td&gt;&lt;td&gt;01000000&lt;/td&gt;&lt;td&gt;&lt;/td&gt;&lt;td&gt;&lt;/td&gt;&lt;td&gt;&lt;/td&gt;&lt;td&gt;Long&lt;/td&gt;&lt;td&gt;SkinnedBones&lt;/td&gt;&lt;td&gt;蒙皮骨骼数量&lt;/td&gt;&lt;td&gt;[0,...]&lt;/td&gt;&lt;td&gt;&lt;/td&gt;&lt;/tr&gt;</v>
      </c>
    </row>
    <row r="19" customHeight="1" spans="1:13">
      <c r="A19" s="10" t="str">
        <f t="shared" si="1"/>
        <v>0x00000060</v>
      </c>
      <c r="B19" s="11">
        <f t="shared" si="2"/>
        <v>96</v>
      </c>
      <c r="C19" s="12" t="s">
        <v>44</v>
      </c>
      <c r="D19" s="12"/>
      <c r="E19" s="12"/>
      <c r="F19" s="12"/>
      <c r="G19" s="9" t="s">
        <v>30</v>
      </c>
      <c r="H19" s="9" t="s">
        <v>45</v>
      </c>
      <c r="I19" s="9" t="s">
        <v>46</v>
      </c>
      <c r="J19" s="9"/>
      <c r="K19" s="9"/>
      <c r="M19" t="str">
        <f>TO_HTML_TABLE(A19:K19)</f>
        <v>&lt;tr&gt;&lt;td&gt;0x00000060&lt;/td&gt;&lt;td&gt;(96)&lt;/td&gt;&lt;td&gt;7D008201&lt;/td&gt;&lt;td&gt;&lt;/td&gt;&lt;td&gt;&lt;/td&gt;&lt;td&gt;&lt;/td&gt;&lt;td&gt;Flags&lt;/td&gt;&lt;td&gt;VertexFlags&lt;/td&gt;&lt;td&gt;记录UVLayout的数量&lt;/td&gt;&lt;td&gt;&lt;/td&gt;&lt;td&gt;&lt;/td&gt;&lt;/tr&gt;</v>
      </c>
    </row>
    <row r="20" customHeight="1" spans="1:13">
      <c r="A20" s="10" t="str">
        <f t="shared" si="1"/>
        <v>0x00000064</v>
      </c>
      <c r="B20" s="11">
        <f t="shared" si="2"/>
        <v>100</v>
      </c>
      <c r="C20" s="12" t="s">
        <v>47</v>
      </c>
      <c r="D20" s="12" t="s">
        <v>48</v>
      </c>
      <c r="E20" s="12" t="s">
        <v>23</v>
      </c>
      <c r="F20" s="12"/>
      <c r="G20" s="9" t="s">
        <v>24</v>
      </c>
      <c r="H20" s="12"/>
      <c r="I20" s="9" t="s">
        <v>49</v>
      </c>
      <c r="J20" s="9"/>
      <c r="K20" s="9"/>
      <c r="M20" t="str">
        <f>TO_HTML_TABLE(A20:K20)</f>
        <v>&lt;tr&gt;&lt;td&gt;0x00000064&lt;/td&gt;&lt;td&gt;(100)&lt;/td&gt;&lt;td&gt;00030000&lt;/td&gt;&lt;td&gt;14000000&lt;/td&gt;&lt;td&gt;00000000&lt;/td&gt;&lt;td&gt;&lt;/td&gt;&lt;td&gt;TagRef&lt;/td&gt;&lt;td&gt;&lt;/td&gt;&lt;td&gt;TagRef-&gt;Vertex(Struct:U8)&lt;/td&gt;&lt;td&gt;&lt;/td&gt;&lt;td&gt;&lt;/td&gt;&lt;/tr&gt;</v>
      </c>
    </row>
    <row r="21" customHeight="1" spans="1:13">
      <c r="A21" s="10" t="str">
        <f t="shared" si="1"/>
        <v>0x00000070</v>
      </c>
      <c r="B21" s="11">
        <f t="shared" si="2"/>
        <v>112</v>
      </c>
      <c r="C21" s="12" t="s">
        <v>22</v>
      </c>
      <c r="D21" s="12" t="s">
        <v>50</v>
      </c>
      <c r="E21" s="12" t="s">
        <v>23</v>
      </c>
      <c r="F21" s="12"/>
      <c r="G21" s="9" t="s">
        <v>24</v>
      </c>
      <c r="H21" s="12"/>
      <c r="I21" s="9" t="s">
        <v>51</v>
      </c>
      <c r="J21" s="9"/>
      <c r="K21" s="9"/>
      <c r="M21" t="str">
        <f>TO_HTML_TABLE(A21:K21)</f>
        <v>&lt;tr&gt;&lt;td&gt;0x00000070&lt;/td&gt;&lt;td&gt;(112)&lt;/td&gt;&lt;td&gt;01000000&lt;/td&gt;&lt;td&gt;15000000&lt;/td&gt;&lt;td&gt;00000000&lt;/td&gt;&lt;td&gt;&lt;/td&gt;&lt;td&gt;TagRef&lt;/td&gt;&lt;td&gt;&lt;/td&gt;&lt;td&gt;TagRef-&gt;Division(Struct:DIV)&lt;/td&gt;&lt;td&gt;&lt;/td&gt;&lt;td&gt;&lt;/td&gt;&lt;/tr&gt;</v>
      </c>
    </row>
    <row r="22" customHeight="1" spans="1:13">
      <c r="A22" s="10" t="str">
        <f t="shared" si="1"/>
        <v>0x0000007C</v>
      </c>
      <c r="B22" s="11">
        <f t="shared" si="2"/>
        <v>124</v>
      </c>
      <c r="C22" s="12" t="s">
        <v>22</v>
      </c>
      <c r="D22" s="12" t="s">
        <v>52</v>
      </c>
      <c r="E22" s="12" t="s">
        <v>23</v>
      </c>
      <c r="F22" s="12"/>
      <c r="G22" s="9" t="s">
        <v>24</v>
      </c>
      <c r="H22" s="12"/>
      <c r="I22" s="9" t="s">
        <v>53</v>
      </c>
      <c r="J22" s="9"/>
      <c r="K22" s="9"/>
      <c r="M22" t="str">
        <f>TO_HTML_TABLE(A22:K22)</f>
        <v>&lt;tr&gt;&lt;td&gt;0x0000007C&lt;/td&gt;&lt;td&gt;(124)&lt;/td&gt;&lt;td&gt;01000000&lt;/td&gt;&lt;td&gt;1A000000&lt;/td&gt;&lt;td&gt;00000000&lt;/td&gt;&lt;td&gt;&lt;/td&gt;&lt;td&gt;TagRef&lt;/td&gt;&lt;td&gt;&lt;/td&gt;&lt;td&gt;TagRef-&gt;BoneLookup(Struct:U16)&lt;/td&gt;&lt;td&gt;&lt;/td&gt;&lt;td&gt;&lt;/td&gt;&lt;/tr&gt;</v>
      </c>
    </row>
    <row r="23" customHeight="1" spans="1:13">
      <c r="A23" s="10" t="str">
        <f t="shared" si="1"/>
        <v>0x00000088</v>
      </c>
      <c r="B23" s="11">
        <f t="shared" si="2"/>
        <v>136</v>
      </c>
      <c r="C23" s="12" t="s">
        <v>54</v>
      </c>
      <c r="D23" s="12" t="s">
        <v>54</v>
      </c>
      <c r="E23" s="12" t="s">
        <v>23</v>
      </c>
      <c r="F23" s="12"/>
      <c r="G23" s="9" t="s">
        <v>55</v>
      </c>
      <c r="H23" s="14"/>
      <c r="I23" s="9"/>
      <c r="J23" s="9"/>
      <c r="K23" s="9"/>
      <c r="M23" t="str">
        <f>TO_HTML_TABLE(A23:K23)</f>
        <v>&lt;tr&gt;&lt;td&gt;0x00000088&lt;/td&gt;&lt;td&gt;(136)&lt;/td&gt;&lt;td&gt;999999BD&lt;/td&gt;&lt;td&gt;999999BD&lt;/td&gt;&lt;td&gt;00000000&lt;/td&gt;&lt;td&gt;&lt;/td&gt;&lt;td rowspan="4"&gt;BndSphere&lt;/td&gt;&lt;td rowspan="4"&gt;&lt;/td&gt;&lt;td&gt;&lt;/td&gt;&lt;td&gt;&lt;/td&gt;&lt;td&gt;&lt;/td&gt;&lt;/tr&gt;</v>
      </c>
    </row>
    <row r="24" customHeight="1" spans="1:13">
      <c r="A24" s="10" t="str">
        <f t="shared" si="1"/>
        <v>0x00000094</v>
      </c>
      <c r="B24" s="11">
        <f t="shared" si="2"/>
        <v>148</v>
      </c>
      <c r="C24" s="12" t="s">
        <v>56</v>
      </c>
      <c r="D24" s="12" t="s">
        <v>56</v>
      </c>
      <c r="E24" s="12" t="s">
        <v>57</v>
      </c>
      <c r="F24" s="12"/>
      <c r="G24" s="9"/>
      <c r="H24" s="15"/>
      <c r="I24" s="9"/>
      <c r="J24" s="9"/>
      <c r="K24" s="9"/>
      <c r="M24" t="str">
        <f>TO_HTML_TABLE(A24:K24)</f>
        <v>&lt;tr&gt;&lt;td&gt;0x00000094&lt;/td&gt;&lt;td&gt;(148)&lt;/td&gt;&lt;td&gt;9999993D&lt;/td&gt;&lt;td&gt;9999993D&lt;/td&gt;&lt;td&gt;9999193E&lt;/td&gt;&lt;td&gt;&lt;/td&gt;&lt;td&gt;&lt;/td&gt;&lt;td&gt;&lt;/td&gt;&lt;td&gt;&lt;/td&gt;&lt;/tr&gt;</v>
      </c>
    </row>
    <row r="25" customHeight="1" spans="1:13">
      <c r="A25" s="10" t="str">
        <f t="shared" si="1"/>
        <v>0x000000A0</v>
      </c>
      <c r="B25" s="11">
        <f t="shared" si="2"/>
        <v>160</v>
      </c>
      <c r="C25" s="12" t="s">
        <v>58</v>
      </c>
      <c r="D25" s="12"/>
      <c r="E25" s="12"/>
      <c r="F25" s="12"/>
      <c r="G25" s="9"/>
      <c r="H25" s="15"/>
      <c r="I25" s="9"/>
      <c r="J25" s="9"/>
      <c r="K25" s="9"/>
      <c r="M25" t="str">
        <f>TO_HTML_TABLE(A25:K25)</f>
        <v>&lt;tr&gt;&lt;td&gt;0x000000A0&lt;/td&gt;&lt;td&gt;(160)&lt;/td&gt;&lt;td&gt;8105053E&lt;/td&gt;&lt;td&gt;&lt;/td&gt;&lt;td&gt;&lt;/td&gt;&lt;td&gt;&lt;/td&gt;&lt;td&gt;&lt;/td&gt;&lt;td&gt;&lt;/td&gt;&lt;td&gt;&lt;/td&gt;&lt;/tr&gt;</v>
      </c>
    </row>
    <row r="26" customHeight="1" spans="1:13">
      <c r="A26" s="10" t="str">
        <f t="shared" si="1"/>
        <v>0x000000A4</v>
      </c>
      <c r="B26" s="11">
        <f t="shared" si="2"/>
        <v>164</v>
      </c>
      <c r="C26" s="12" t="s">
        <v>23</v>
      </c>
      <c r="D26" s="12"/>
      <c r="E26" s="12"/>
      <c r="F26" s="12"/>
      <c r="G26" s="9"/>
      <c r="H26" s="16"/>
      <c r="I26" s="9"/>
      <c r="J26" s="9"/>
      <c r="K26" s="9"/>
      <c r="M26" t="str">
        <f>TO_HTML_TABLE(A26:K26)</f>
        <v>&lt;tr&gt;&lt;td&gt;0x000000A4&lt;/td&gt;&lt;td&gt;(164)&lt;/td&gt;&lt;td&gt;00000000&lt;/td&gt;&lt;td&gt;&lt;/td&gt;&lt;td&gt;&lt;/td&gt;&lt;td&gt;&lt;/td&gt;&lt;td&gt;&lt;/td&gt;&lt;td&gt;&lt;/td&gt;&lt;td&gt;&lt;/td&gt;&lt;/tr&gt;</v>
      </c>
    </row>
    <row r="27" customHeight="1" spans="1:13">
      <c r="A27" s="10" t="str">
        <f t="shared" si="1"/>
        <v>0x000000A8</v>
      </c>
      <c r="B27" s="11">
        <f t="shared" si="2"/>
        <v>168</v>
      </c>
      <c r="C27" s="12" t="s">
        <v>23</v>
      </c>
      <c r="D27" s="12" t="s">
        <v>23</v>
      </c>
      <c r="E27" s="12" t="s">
        <v>23</v>
      </c>
      <c r="F27" s="12"/>
      <c r="G27" s="9"/>
      <c r="H27" s="9"/>
      <c r="I27" s="9"/>
      <c r="J27" s="9"/>
      <c r="K27" s="9"/>
      <c r="M27" t="str">
        <f>TO_HTML_TABLE(A27:K27)</f>
        <v>&lt;tr&gt;&lt;td&gt;0x000000A8&lt;/td&gt;&lt;td&gt;(168)&lt;/td&gt;&lt;td&gt;00000000&lt;/td&gt;&lt;td&gt;00000000&lt;/td&gt;&lt;td&gt;00000000&lt;/td&gt;&lt;td&gt;&lt;/td&gt;&lt;td&gt;&lt;/td&gt;&lt;td&gt;&lt;/td&gt;&lt;td&gt;&lt;/td&gt;&lt;td&gt;&lt;/td&gt;&lt;td&gt;&lt;/td&gt;&lt;/tr&gt;</v>
      </c>
    </row>
    <row r="28" customHeight="1" spans="1:13">
      <c r="A28" s="10" t="str">
        <f t="shared" si="1"/>
        <v>0x000000B4</v>
      </c>
      <c r="B28" s="11">
        <f t="shared" si="2"/>
        <v>180</v>
      </c>
      <c r="C28" s="12" t="s">
        <v>23</v>
      </c>
      <c r="D28" s="12" t="s">
        <v>23</v>
      </c>
      <c r="E28" s="12" t="s">
        <v>23</v>
      </c>
      <c r="F28" s="12"/>
      <c r="G28" s="9"/>
      <c r="H28" s="9"/>
      <c r="I28" s="9"/>
      <c r="J28" s="9"/>
      <c r="K28" s="9"/>
      <c r="M28" t="str">
        <f>TO_HTML_TABLE(A28:K28)</f>
        <v>&lt;tr&gt;&lt;td&gt;0x000000B4&lt;/td&gt;&lt;td&gt;(180)&lt;/td&gt;&lt;td&gt;00000000&lt;/td&gt;&lt;td&gt;00000000&lt;/td&gt;&lt;td&gt;00000000&lt;/td&gt;&lt;td&gt;&lt;/td&gt;&lt;td&gt;&lt;/td&gt;&lt;td&gt;&lt;/td&gt;&lt;td&gt;&lt;/td&gt;&lt;td&gt;&lt;/td&gt;&lt;td&gt;&lt;/td&gt;&lt;/tr&gt;</v>
      </c>
    </row>
    <row r="29" customHeight="1" spans="1:13">
      <c r="A29" s="10" t="str">
        <f t="shared" si="1"/>
        <v>0x000000C0</v>
      </c>
      <c r="B29" s="11">
        <f t="shared" si="2"/>
        <v>192</v>
      </c>
      <c r="C29" s="12" t="s">
        <v>23</v>
      </c>
      <c r="D29" s="12" t="s">
        <v>23</v>
      </c>
      <c r="E29" s="12" t="s">
        <v>23</v>
      </c>
      <c r="F29" s="12"/>
      <c r="G29" s="9"/>
      <c r="H29" s="9"/>
      <c r="I29" s="9"/>
      <c r="J29" s="9"/>
      <c r="K29" s="9"/>
      <c r="M29" t="str">
        <f>TO_HTML_TABLE(A29:K29)</f>
        <v>&lt;tr&gt;&lt;td&gt;0x000000C0&lt;/td&gt;&lt;td&gt;(192)&lt;/td&gt;&lt;td&gt;00000000&lt;/td&gt;&lt;td&gt;00000000&lt;/td&gt;&lt;td&gt;00000000&lt;/td&gt;&lt;td&gt;&lt;/td&gt;&lt;td&gt;&lt;/td&gt;&lt;td&gt;&lt;/td&gt;&lt;td&gt;&lt;/td&gt;&lt;td&gt;&lt;/td&gt;&lt;td&gt;&lt;/td&gt;&lt;/tr&gt;</v>
      </c>
    </row>
    <row r="30" customHeight="1" spans="1:13">
      <c r="A30" s="10" t="str">
        <f t="shared" si="1"/>
        <v>0x000000CC</v>
      </c>
      <c r="B30" s="11">
        <f t="shared" si="2"/>
        <v>204</v>
      </c>
      <c r="C30" s="12" t="s">
        <v>23</v>
      </c>
      <c r="D30" s="12" t="s">
        <v>23</v>
      </c>
      <c r="E30" s="12" t="s">
        <v>23</v>
      </c>
      <c r="F30" s="12"/>
      <c r="G30" s="9"/>
      <c r="H30" s="9"/>
      <c r="I30" s="9"/>
      <c r="J30" s="9"/>
      <c r="K30" s="9"/>
      <c r="M30" t="str">
        <f>TO_HTML_TABLE(A30:K30)</f>
        <v>&lt;tr&gt;&lt;td&gt;0x000000CC&lt;/td&gt;&lt;td&gt;(204)&lt;/td&gt;&lt;td&gt;00000000&lt;/td&gt;&lt;td&gt;00000000&lt;/td&gt;&lt;td&gt;00000000&lt;/td&gt;&lt;td&gt;&lt;/td&gt;&lt;td&gt;&lt;/td&gt;&lt;td&gt;&lt;/td&gt;&lt;td&gt;&lt;/td&gt;&lt;td&gt;&lt;/td&gt;&lt;td&gt;&lt;/td&gt;&lt;/tr&gt;</v>
      </c>
    </row>
    <row r="31" customHeight="1" spans="1:13">
      <c r="A31" s="10" t="str">
        <f t="shared" si="1"/>
        <v>0x000000D8</v>
      </c>
      <c r="B31" s="11">
        <f t="shared" si="2"/>
        <v>216</v>
      </c>
      <c r="C31" s="12" t="s">
        <v>23</v>
      </c>
      <c r="D31" s="12" t="s">
        <v>23</v>
      </c>
      <c r="E31" s="12" t="s">
        <v>23</v>
      </c>
      <c r="F31" s="12"/>
      <c r="G31" s="9"/>
      <c r="H31" s="9"/>
      <c r="I31" s="9"/>
      <c r="J31" s="9"/>
      <c r="K31" s="9"/>
      <c r="M31" t="str">
        <f>TO_HTML_TABLE(A31:K31)</f>
        <v>&lt;tr&gt;&lt;td&gt;0x000000D8&lt;/td&gt;&lt;td&gt;(216)&lt;/td&gt;&lt;td&gt;00000000&lt;/td&gt;&lt;td&gt;00000000&lt;/td&gt;&lt;td&gt;00000000&lt;/td&gt;&lt;td&gt;&lt;/td&gt;&lt;td&gt;&lt;/td&gt;&lt;td&gt;&lt;/td&gt;&lt;td&gt;&lt;/td&gt;&lt;td&gt;&lt;/td&gt;&lt;td&gt;&lt;/td&gt;&lt;/tr&gt;</v>
      </c>
    </row>
    <row r="32" customHeight="1" spans="1:13">
      <c r="A32" s="10" t="str">
        <f t="shared" si="1"/>
        <v>0x000000E4</v>
      </c>
      <c r="B32" s="11">
        <f t="shared" si="2"/>
        <v>228</v>
      </c>
      <c r="C32" s="12" t="s">
        <v>23</v>
      </c>
      <c r="D32" s="12" t="s">
        <v>23</v>
      </c>
      <c r="E32" s="12" t="s">
        <v>23</v>
      </c>
      <c r="F32" s="12"/>
      <c r="G32" s="9"/>
      <c r="H32" s="9"/>
      <c r="I32" s="9"/>
      <c r="J32" s="9"/>
      <c r="K32" s="9"/>
      <c r="M32" t="str">
        <f>TO_HTML_TABLE(A32:K32)</f>
        <v>&lt;tr&gt;&lt;td&gt;0x000000E4&lt;/td&gt;&lt;td&gt;(228)&lt;/td&gt;&lt;td&gt;00000000&lt;/td&gt;&lt;td&gt;00000000&lt;/td&gt;&lt;td&gt;00000000&lt;/td&gt;&lt;td&gt;&lt;/td&gt;&lt;td&gt;&lt;/td&gt;&lt;td&gt;&lt;/td&gt;&lt;td&gt;&lt;/td&gt;&lt;td&gt;&lt;/td&gt;&lt;td&gt;&lt;/td&gt;&lt;/tr&gt;</v>
      </c>
    </row>
    <row r="33" customHeight="1" spans="1:13">
      <c r="A33" s="10" t="str">
        <f t="shared" si="1"/>
        <v>0x000000F0</v>
      </c>
      <c r="B33" s="11">
        <f t="shared" si="2"/>
        <v>240</v>
      </c>
      <c r="C33" s="12" t="s">
        <v>23</v>
      </c>
      <c r="D33" s="12" t="s">
        <v>23</v>
      </c>
      <c r="E33" s="12" t="s">
        <v>23</v>
      </c>
      <c r="F33" s="12"/>
      <c r="G33" s="9"/>
      <c r="H33" s="9"/>
      <c r="I33" s="9"/>
      <c r="J33" s="9"/>
      <c r="K33" s="9"/>
      <c r="M33" t="str">
        <f>TO_HTML_TABLE(A33:K33)</f>
        <v>&lt;tr&gt;&lt;td&gt;0x000000F0&lt;/td&gt;&lt;td&gt;(240)&lt;/td&gt;&lt;td&gt;00000000&lt;/td&gt;&lt;td&gt;00000000&lt;/td&gt;&lt;td&gt;00000000&lt;/td&gt;&lt;td&gt;&lt;/td&gt;&lt;td&gt;&lt;/td&gt;&lt;td&gt;&lt;/td&gt;&lt;td&gt;&lt;/td&gt;&lt;td&gt;&lt;/td&gt;&lt;td&gt;&lt;/td&gt;&lt;/tr&gt;</v>
      </c>
    </row>
    <row r="34" customHeight="1" spans="1:13">
      <c r="A34" s="10" t="str">
        <f t="shared" si="1"/>
        <v>0x000000FC</v>
      </c>
      <c r="B34" s="11">
        <f t="shared" si="2"/>
        <v>252</v>
      </c>
      <c r="C34" s="12" t="s">
        <v>23</v>
      </c>
      <c r="D34" s="12" t="s">
        <v>23</v>
      </c>
      <c r="E34" s="12" t="s">
        <v>23</v>
      </c>
      <c r="F34" s="12"/>
      <c r="G34" s="9"/>
      <c r="H34" s="9"/>
      <c r="I34" s="9"/>
      <c r="J34" s="9"/>
      <c r="K34" s="9"/>
      <c r="M34" t="str">
        <f>TO_HTML_TABLE(A34:K34)</f>
        <v>&lt;tr&gt;&lt;td&gt;0x000000FC&lt;/td&gt;&lt;td&gt;(252)&lt;/td&gt;&lt;td&gt;00000000&lt;/td&gt;&lt;td&gt;00000000&lt;/td&gt;&lt;td&gt;00000000&lt;/td&gt;&lt;td&gt;&lt;/td&gt;&lt;td&gt;&lt;/td&gt;&lt;td&gt;&lt;/td&gt;&lt;td&gt;&lt;/td&gt;&lt;td&gt;&lt;/td&gt;&lt;td&gt;&lt;/td&gt;&lt;/tr&gt;</v>
      </c>
    </row>
    <row r="35" customHeight="1" spans="1:13">
      <c r="A35" s="10" t="str">
        <f t="shared" si="1"/>
        <v>0x00000108</v>
      </c>
      <c r="B35" s="11">
        <f t="shared" si="2"/>
        <v>264</v>
      </c>
      <c r="C35" s="12" t="s">
        <v>23</v>
      </c>
      <c r="D35" s="12" t="s">
        <v>23</v>
      </c>
      <c r="E35" s="12" t="s">
        <v>23</v>
      </c>
      <c r="F35" s="12"/>
      <c r="G35" s="9"/>
      <c r="H35" s="9"/>
      <c r="I35" s="9"/>
      <c r="J35" s="9"/>
      <c r="K35" s="9"/>
      <c r="M35" t="str">
        <f>TO_HTML_TABLE(A35:K35)</f>
        <v>&lt;tr&gt;&lt;td&gt;0x00000108&lt;/td&gt;&lt;td&gt;(264)&lt;/td&gt;&lt;td&gt;00000000&lt;/td&gt;&lt;td&gt;00000000&lt;/td&gt;&lt;td&gt;00000000&lt;/td&gt;&lt;td&gt;&lt;/td&gt;&lt;td&gt;&lt;/td&gt;&lt;td&gt;&lt;/td&gt;&lt;td&gt;&lt;/td&gt;&lt;td&gt;&lt;/td&gt;&lt;td&gt;&lt;/td&gt;&lt;/tr&gt;</v>
      </c>
    </row>
    <row r="36" customHeight="1" spans="1:13">
      <c r="A36" s="10" t="str">
        <f t="shared" si="1"/>
        <v>0x00000114</v>
      </c>
      <c r="B36" s="11">
        <f t="shared" si="2"/>
        <v>276</v>
      </c>
      <c r="C36" s="12" t="s">
        <v>23</v>
      </c>
      <c r="D36" s="12" t="s">
        <v>23</v>
      </c>
      <c r="E36" s="12" t="s">
        <v>23</v>
      </c>
      <c r="F36" s="12"/>
      <c r="G36" s="9"/>
      <c r="H36" s="9"/>
      <c r="I36" s="9"/>
      <c r="J36" s="9"/>
      <c r="K36" s="9"/>
      <c r="M36" t="str">
        <f>TO_HTML_TABLE(A36:K36)</f>
        <v>&lt;tr&gt;&lt;td&gt;0x00000114&lt;/td&gt;&lt;td&gt;(276)&lt;/td&gt;&lt;td&gt;00000000&lt;/td&gt;&lt;td&gt;00000000&lt;/td&gt;&lt;td&gt;00000000&lt;/td&gt;&lt;td&gt;&lt;/td&gt;&lt;td&gt;&lt;/td&gt;&lt;td&gt;&lt;/td&gt;&lt;td&gt;&lt;/td&gt;&lt;td&gt;&lt;/td&gt;&lt;td&gt;&lt;/td&gt;&lt;/tr&gt;</v>
      </c>
    </row>
    <row r="37" customHeight="1" spans="1:13">
      <c r="A37" s="10" t="str">
        <f t="shared" si="1"/>
        <v>0x00000120</v>
      </c>
      <c r="B37" s="11">
        <f t="shared" si="2"/>
        <v>288</v>
      </c>
      <c r="C37" s="12" t="s">
        <v>23</v>
      </c>
      <c r="D37" s="12" t="s">
        <v>23</v>
      </c>
      <c r="E37" s="12" t="s">
        <v>23</v>
      </c>
      <c r="F37" s="12"/>
      <c r="G37" s="9"/>
      <c r="H37" s="9"/>
      <c r="I37" s="9"/>
      <c r="J37" s="9"/>
      <c r="K37" s="9"/>
      <c r="M37" t="str">
        <f>TO_HTML_TABLE(A37:K37)</f>
        <v>&lt;tr&gt;&lt;td&gt;0x00000120&lt;/td&gt;&lt;td&gt;(288)&lt;/td&gt;&lt;td&gt;00000000&lt;/td&gt;&lt;td&gt;00000000&lt;/td&gt;&lt;td&gt;00000000&lt;/td&gt;&lt;td&gt;&lt;/td&gt;&lt;td&gt;&lt;/td&gt;&lt;td&gt;&lt;/td&gt;&lt;td&gt;&lt;/td&gt;&lt;td&gt;&lt;/td&gt;&lt;td&gt;&lt;/td&gt;&lt;/tr&gt;</v>
      </c>
    </row>
  </sheetData>
  <mergeCells count="42">
    <mergeCell ref="A2:B2"/>
    <mergeCell ref="C2:F2"/>
    <mergeCell ref="M2:AH2"/>
    <mergeCell ref="M3:AH3"/>
    <mergeCell ref="M4:AH4"/>
    <mergeCell ref="M5:AH5"/>
    <mergeCell ref="M6:AH6"/>
    <mergeCell ref="M7:AH7"/>
    <mergeCell ref="M8:AH8"/>
    <mergeCell ref="A9:B9"/>
    <mergeCell ref="C9:F9"/>
    <mergeCell ref="M9:AH9"/>
    <mergeCell ref="M10:AH10"/>
    <mergeCell ref="M11:AH11"/>
    <mergeCell ref="M12:AH12"/>
    <mergeCell ref="M13:AH13"/>
    <mergeCell ref="M14:AH14"/>
    <mergeCell ref="M15:AH15"/>
    <mergeCell ref="M16:AH16"/>
    <mergeCell ref="M17:AH17"/>
    <mergeCell ref="M18:AH18"/>
    <mergeCell ref="M19:AH19"/>
    <mergeCell ref="M20:AH20"/>
    <mergeCell ref="M21:AH21"/>
    <mergeCell ref="M22:AH22"/>
    <mergeCell ref="M23:AH23"/>
    <mergeCell ref="M24:AH24"/>
    <mergeCell ref="M25:AH25"/>
    <mergeCell ref="M26:AH26"/>
    <mergeCell ref="M27:AH27"/>
    <mergeCell ref="M28:AH28"/>
    <mergeCell ref="M29:AH29"/>
    <mergeCell ref="M30:AH30"/>
    <mergeCell ref="M31:AH31"/>
    <mergeCell ref="M32:AH32"/>
    <mergeCell ref="M33:AH33"/>
    <mergeCell ref="M34:AH34"/>
    <mergeCell ref="M35:AH35"/>
    <mergeCell ref="M36:AH36"/>
    <mergeCell ref="M37:AH37"/>
    <mergeCell ref="G23:G26"/>
    <mergeCell ref="H23:H26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80"/>
  <sheetViews>
    <sheetView tabSelected="1" workbookViewId="0">
      <selection activeCell="A1" sqref="A1:C29"/>
    </sheetView>
  </sheetViews>
  <sheetFormatPr defaultColWidth="9" defaultRowHeight="13.5" outlineLevelCol="3"/>
  <cols>
    <col min="1" max="4" width="12.625" customWidth="1"/>
  </cols>
  <sheetData>
    <row r="1" spans="1:3">
      <c r="A1" t="s">
        <v>59</v>
      </c>
      <c r="B1" t="s">
        <v>60</v>
      </c>
      <c r="C1" t="s">
        <v>61</v>
      </c>
    </row>
    <row r="2" spans="1:1">
      <c r="A2" t="s">
        <v>62</v>
      </c>
    </row>
    <row r="3" spans="1:3">
      <c r="A3" t="s">
        <v>59</v>
      </c>
      <c r="B3" t="s">
        <v>63</v>
      </c>
      <c r="C3" t="s">
        <v>61</v>
      </c>
    </row>
    <row r="4" spans="1:3">
      <c r="A4" t="s">
        <v>59</v>
      </c>
      <c r="B4" t="s">
        <v>64</v>
      </c>
      <c r="C4" t="s">
        <v>61</v>
      </c>
    </row>
    <row r="5" spans="1:3">
      <c r="A5" t="s">
        <v>59</v>
      </c>
      <c r="B5" t="s">
        <v>65</v>
      </c>
      <c r="C5" t="s">
        <v>61</v>
      </c>
    </row>
    <row r="6" spans="1:3">
      <c r="A6" t="s">
        <v>61</v>
      </c>
      <c r="B6" t="s">
        <v>61</v>
      </c>
      <c r="C6" t="s">
        <v>61</v>
      </c>
    </row>
    <row r="7" spans="1:1">
      <c r="A7" t="s">
        <v>61</v>
      </c>
    </row>
    <row r="8" spans="1:3">
      <c r="A8" t="s">
        <v>59</v>
      </c>
      <c r="B8" t="s">
        <v>66</v>
      </c>
      <c r="C8" t="s">
        <v>61</v>
      </c>
    </row>
    <row r="9" spans="1:3">
      <c r="A9" t="s">
        <v>59</v>
      </c>
      <c r="B9" t="s">
        <v>67</v>
      </c>
      <c r="C9" t="s">
        <v>61</v>
      </c>
    </row>
    <row r="10" spans="1:1">
      <c r="A10" t="s">
        <v>59</v>
      </c>
    </row>
    <row r="11" spans="1:1">
      <c r="A11" t="s">
        <v>68</v>
      </c>
    </row>
    <row r="12" spans="1:3">
      <c r="A12" t="s">
        <v>69</v>
      </c>
      <c r="B12" t="s">
        <v>70</v>
      </c>
      <c r="C12" t="s">
        <v>61</v>
      </c>
    </row>
    <row r="13" spans="1:3">
      <c r="A13" t="s">
        <v>59</v>
      </c>
      <c r="B13" t="s">
        <v>71</v>
      </c>
      <c r="C13" t="s">
        <v>61</v>
      </c>
    </row>
    <row r="14" spans="1:3">
      <c r="A14" t="s">
        <v>59</v>
      </c>
      <c r="B14" t="s">
        <v>72</v>
      </c>
      <c r="C14" t="s">
        <v>61</v>
      </c>
    </row>
    <row r="15" spans="1:3">
      <c r="A15" t="s">
        <v>73</v>
      </c>
      <c r="B15" t="s">
        <v>73</v>
      </c>
      <c r="C15" t="s">
        <v>61</v>
      </c>
    </row>
    <row r="16" spans="1:3">
      <c r="A16" t="s">
        <v>74</v>
      </c>
      <c r="B16" t="s">
        <v>74</v>
      </c>
      <c r="C16" t="s">
        <v>75</v>
      </c>
    </row>
    <row r="17" spans="1:1">
      <c r="A17" t="s">
        <v>76</v>
      </c>
    </row>
    <row r="18" spans="1:1">
      <c r="A18" t="s">
        <v>61</v>
      </c>
    </row>
    <row r="19" spans="1:3">
      <c r="A19" t="s">
        <v>61</v>
      </c>
      <c r="B19" t="s">
        <v>61</v>
      </c>
      <c r="C19" t="s">
        <v>61</v>
      </c>
    </row>
    <row r="20" spans="1:3">
      <c r="A20" t="s">
        <v>61</v>
      </c>
      <c r="B20" t="s">
        <v>61</v>
      </c>
      <c r="C20" t="s">
        <v>61</v>
      </c>
    </row>
    <row r="21" spans="1:3">
      <c r="A21" t="s">
        <v>61</v>
      </c>
      <c r="B21" t="s">
        <v>61</v>
      </c>
      <c r="C21" t="s">
        <v>61</v>
      </c>
    </row>
    <row r="22" spans="1:3">
      <c r="A22" t="s">
        <v>61</v>
      </c>
      <c r="B22" t="s">
        <v>61</v>
      </c>
      <c r="C22" t="s">
        <v>61</v>
      </c>
    </row>
    <row r="23" spans="1:3">
      <c r="A23" t="s">
        <v>61</v>
      </c>
      <c r="B23" t="s">
        <v>61</v>
      </c>
      <c r="C23" t="s">
        <v>61</v>
      </c>
    </row>
    <row r="24" spans="1:3">
      <c r="A24" t="s">
        <v>61</v>
      </c>
      <c r="B24" t="s">
        <v>61</v>
      </c>
      <c r="C24" t="s">
        <v>61</v>
      </c>
    </row>
    <row r="25" spans="1:3">
      <c r="A25" t="s">
        <v>61</v>
      </c>
      <c r="B25" t="s">
        <v>61</v>
      </c>
      <c r="C25" t="s">
        <v>61</v>
      </c>
    </row>
    <row r="26" spans="1:3">
      <c r="A26" t="s">
        <v>61</v>
      </c>
      <c r="B26" t="s">
        <v>61</v>
      </c>
      <c r="C26" t="s">
        <v>61</v>
      </c>
    </row>
    <row r="27" spans="1:3">
      <c r="A27" t="s">
        <v>61</v>
      </c>
      <c r="B27" t="s">
        <v>61</v>
      </c>
      <c r="C27" t="s">
        <v>61</v>
      </c>
    </row>
    <row r="28" spans="1:3">
      <c r="A28" t="s">
        <v>61</v>
      </c>
      <c r="B28" t="s">
        <v>61</v>
      </c>
      <c r="C28" t="s">
        <v>61</v>
      </c>
    </row>
    <row r="29" spans="1:3">
      <c r="A29" t="s">
        <v>61</v>
      </c>
      <c r="B29" t="s">
        <v>61</v>
      </c>
      <c r="C29" t="s">
        <v>61</v>
      </c>
    </row>
    <row r="32" spans="1:3">
      <c r="A32" t="s">
        <v>59</v>
      </c>
      <c r="B32" t="s">
        <v>77</v>
      </c>
      <c r="C32" t="s">
        <v>61</v>
      </c>
    </row>
    <row r="33" spans="1:3">
      <c r="A33" t="s">
        <v>59</v>
      </c>
      <c r="B33" t="s">
        <v>78</v>
      </c>
      <c r="C33" t="s">
        <v>61</v>
      </c>
    </row>
    <row r="34" spans="1:3">
      <c r="A34" t="s">
        <v>61</v>
      </c>
      <c r="B34" t="s">
        <v>61</v>
      </c>
      <c r="C34" t="s">
        <v>61</v>
      </c>
    </row>
    <row r="35" spans="1:3">
      <c r="A35" t="s">
        <v>61</v>
      </c>
      <c r="B35" t="s">
        <v>61</v>
      </c>
      <c r="C35" t="s">
        <v>61</v>
      </c>
    </row>
    <row r="36" spans="1:3">
      <c r="A36" t="s">
        <v>61</v>
      </c>
      <c r="B36" t="s">
        <v>61</v>
      </c>
      <c r="C36" t="s">
        <v>61</v>
      </c>
    </row>
    <row r="37" spans="1:3">
      <c r="A37" t="s">
        <v>61</v>
      </c>
      <c r="B37" t="s">
        <v>61</v>
      </c>
      <c r="C37" t="s">
        <v>61</v>
      </c>
    </row>
    <row r="38" spans="1:3">
      <c r="A38" t="s">
        <v>61</v>
      </c>
      <c r="B38" t="s">
        <v>61</v>
      </c>
      <c r="C38" t="s">
        <v>61</v>
      </c>
    </row>
    <row r="39" spans="1:3">
      <c r="A39" t="s">
        <v>61</v>
      </c>
      <c r="B39" t="s">
        <v>61</v>
      </c>
      <c r="C39" t="s">
        <v>61</v>
      </c>
    </row>
    <row r="40" spans="1:3">
      <c r="A40" t="s">
        <v>61</v>
      </c>
      <c r="B40" t="s">
        <v>61</v>
      </c>
      <c r="C40" t="s">
        <v>61</v>
      </c>
    </row>
    <row r="41" spans="1:3">
      <c r="A41" t="s">
        <v>61</v>
      </c>
      <c r="B41" t="s">
        <v>61</v>
      </c>
      <c r="C41" t="s">
        <v>61</v>
      </c>
    </row>
    <row r="42" spans="1:3">
      <c r="A42" t="s">
        <v>61</v>
      </c>
      <c r="B42" t="s">
        <v>61</v>
      </c>
      <c r="C42" t="s">
        <v>61</v>
      </c>
    </row>
    <row r="43" spans="1:3">
      <c r="A43" t="s">
        <v>61</v>
      </c>
      <c r="B43" t="s">
        <v>61</v>
      </c>
      <c r="C43" t="s">
        <v>61</v>
      </c>
    </row>
    <row r="44" spans="1:3">
      <c r="A44" t="s">
        <v>61</v>
      </c>
      <c r="B44" t="s">
        <v>61</v>
      </c>
      <c r="C44" t="s">
        <v>61</v>
      </c>
    </row>
    <row r="45" spans="1:3">
      <c r="A45" t="s">
        <v>61</v>
      </c>
      <c r="B45" t="s">
        <v>61</v>
      </c>
      <c r="C45" t="s">
        <v>61</v>
      </c>
    </row>
    <row r="46" spans="1:3">
      <c r="A46" t="s">
        <v>61</v>
      </c>
      <c r="B46" t="s">
        <v>61</v>
      </c>
      <c r="C46" t="s">
        <v>61</v>
      </c>
    </row>
    <row r="47" spans="1:3">
      <c r="A47" t="s">
        <v>61</v>
      </c>
      <c r="B47" t="s">
        <v>61</v>
      </c>
      <c r="C47" t="s">
        <v>61</v>
      </c>
    </row>
    <row r="48" spans="1:3">
      <c r="A48" t="s">
        <v>61</v>
      </c>
      <c r="B48" t="s">
        <v>61</v>
      </c>
      <c r="C48" t="s">
        <v>61</v>
      </c>
    </row>
    <row r="49" spans="1:3">
      <c r="A49" t="s">
        <v>61</v>
      </c>
      <c r="B49" t="s">
        <v>61</v>
      </c>
      <c r="C49" t="s">
        <v>61</v>
      </c>
    </row>
    <row r="50" spans="1:3">
      <c r="A50" t="s">
        <v>61</v>
      </c>
      <c r="B50" t="s">
        <v>61</v>
      </c>
      <c r="C50" t="s">
        <v>61</v>
      </c>
    </row>
    <row r="51" spans="1:3">
      <c r="A51" t="s">
        <v>61</v>
      </c>
      <c r="B51" t="s">
        <v>61</v>
      </c>
      <c r="C51" t="s">
        <v>61</v>
      </c>
    </row>
    <row r="52" spans="1:3">
      <c r="A52" t="s">
        <v>61</v>
      </c>
      <c r="B52" t="s">
        <v>61</v>
      </c>
      <c r="C52" t="s">
        <v>61</v>
      </c>
    </row>
    <row r="53" spans="1:3">
      <c r="A53" t="s">
        <v>61</v>
      </c>
      <c r="B53" t="s">
        <v>61</v>
      </c>
      <c r="C53" t="s">
        <v>61</v>
      </c>
    </row>
    <row r="54" spans="1:3">
      <c r="A54" t="s">
        <v>61</v>
      </c>
      <c r="B54" t="s">
        <v>61</v>
      </c>
      <c r="C54" t="s">
        <v>61</v>
      </c>
    </row>
    <row r="55" spans="1:3">
      <c r="A55" t="s">
        <v>61</v>
      </c>
      <c r="B55" t="s">
        <v>61</v>
      </c>
      <c r="C55" t="s">
        <v>61</v>
      </c>
    </row>
    <row r="56" spans="1:3">
      <c r="A56" t="s">
        <v>61</v>
      </c>
      <c r="B56" t="s">
        <v>61</v>
      </c>
      <c r="C56" t="s">
        <v>61</v>
      </c>
    </row>
    <row r="57" spans="1:3">
      <c r="A57" t="s">
        <v>61</v>
      </c>
      <c r="B57" t="s">
        <v>61</v>
      </c>
      <c r="C57" t="s">
        <v>61</v>
      </c>
    </row>
    <row r="58" spans="1:3">
      <c r="A58" t="s">
        <v>59</v>
      </c>
      <c r="B58" t="s">
        <v>79</v>
      </c>
      <c r="C58" t="s">
        <v>61</v>
      </c>
    </row>
    <row r="59" spans="1:1">
      <c r="A59" t="s">
        <v>59</v>
      </c>
    </row>
    <row r="60" spans="1:1">
      <c r="A60" t="s">
        <v>80</v>
      </c>
    </row>
    <row r="61" spans="1:4">
      <c r="A61" t="s">
        <v>81</v>
      </c>
      <c r="B61" t="s">
        <v>61</v>
      </c>
      <c r="C61" t="s">
        <v>61</v>
      </c>
      <c r="D61" t="s">
        <v>61</v>
      </c>
    </row>
    <row r="62" spans="1:4">
      <c r="A62" t="s">
        <v>61</v>
      </c>
      <c r="B62" t="s">
        <v>81</v>
      </c>
      <c r="C62" t="s">
        <v>61</v>
      </c>
      <c r="D62" t="s">
        <v>61</v>
      </c>
    </row>
    <row r="63" spans="1:4">
      <c r="A63" t="s">
        <v>61</v>
      </c>
      <c r="B63" t="s">
        <v>61</v>
      </c>
      <c r="C63" t="s">
        <v>81</v>
      </c>
      <c r="D63" t="s">
        <v>61</v>
      </c>
    </row>
    <row r="64" spans="1:4">
      <c r="A64" t="s">
        <v>61</v>
      </c>
      <c r="B64" t="s">
        <v>61</v>
      </c>
      <c r="C64" t="s">
        <v>61</v>
      </c>
      <c r="D64" t="s">
        <v>81</v>
      </c>
    </row>
    <row r="65" spans="1:3">
      <c r="A65" t="s">
        <v>61</v>
      </c>
      <c r="B65" t="s">
        <v>61</v>
      </c>
      <c r="C65" t="s">
        <v>61</v>
      </c>
    </row>
    <row r="66" spans="1:3">
      <c r="A66" t="s">
        <v>61</v>
      </c>
      <c r="B66" t="s">
        <v>61</v>
      </c>
      <c r="C66" t="s">
        <v>61</v>
      </c>
    </row>
    <row r="67" spans="1:1">
      <c r="A67" t="s">
        <v>61</v>
      </c>
    </row>
    <row r="68" spans="1:1">
      <c r="A68" t="s">
        <v>61</v>
      </c>
    </row>
    <row r="69" spans="1:1">
      <c r="A69" t="s">
        <v>61</v>
      </c>
    </row>
    <row r="70" spans="1:3">
      <c r="A70" t="s">
        <v>61</v>
      </c>
      <c r="B70" t="s">
        <v>61</v>
      </c>
      <c r="C70" t="s">
        <v>61</v>
      </c>
    </row>
    <row r="71" spans="1:3">
      <c r="A71" t="s">
        <v>61</v>
      </c>
      <c r="B71" t="s">
        <v>61</v>
      </c>
      <c r="C71" t="s">
        <v>61</v>
      </c>
    </row>
    <row r="72" spans="1:3">
      <c r="A72" t="s">
        <v>61</v>
      </c>
      <c r="B72" t="s">
        <v>61</v>
      </c>
      <c r="C72" t="s">
        <v>61</v>
      </c>
    </row>
    <row r="73" spans="1:3">
      <c r="A73" t="s">
        <v>61</v>
      </c>
      <c r="B73" t="s">
        <v>61</v>
      </c>
      <c r="C73" t="s">
        <v>61</v>
      </c>
    </row>
    <row r="74" spans="1:3">
      <c r="A74" t="s">
        <v>61</v>
      </c>
      <c r="B74" t="s">
        <v>61</v>
      </c>
      <c r="C74" t="s">
        <v>61</v>
      </c>
    </row>
    <row r="75" spans="1:2">
      <c r="A75" t="s">
        <v>61</v>
      </c>
      <c r="B75" t="s">
        <v>61</v>
      </c>
    </row>
    <row r="77" spans="1:1">
      <c r="A77" t="s">
        <v>61</v>
      </c>
    </row>
    <row r="78" spans="1:1">
      <c r="A78" t="s">
        <v>82</v>
      </c>
    </row>
    <row r="79" spans="1:2">
      <c r="A79" t="s">
        <v>61</v>
      </c>
      <c r="B79" t="s">
        <v>61</v>
      </c>
    </row>
    <row r="80" spans="1:1">
      <c r="A80" t="s">
        <v>61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FIleHeader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</dc:creator>
  <cp:lastModifiedBy>dw</cp:lastModifiedBy>
  <dcterms:created xsi:type="dcterms:W3CDTF">2019-05-21T10:19:00Z</dcterms:created>
  <dcterms:modified xsi:type="dcterms:W3CDTF">2019-05-22T10:41:26Z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2052-11.1.0.7720</vt:lpwstr>
  </property>
</Properties>
</file>