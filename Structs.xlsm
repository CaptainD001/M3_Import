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4400" windowHeight="12795" firstSheet="3" activeTab="5"/>
  </bookViews>
  <sheets>
    <sheet name="FIleHeader" sheetId="1" r:id="rId1"/>
    <sheet name="StandardMat" sheetId="5" r:id="rId2"/>
    <sheet name="Particle" sheetId="2" r:id="rId3"/>
    <sheet name="Light" sheetId="3" r:id="rId4"/>
    <sheet name="Camera" sheetId="6" r:id="rId5"/>
    <sheet name="MeshExtraInfo" sheetId="4" r:id="rId6"/>
  </sheets>
  <calcPr calcId="144525"/>
</workbook>
</file>

<file path=xl/sharedStrings.xml><?xml version="1.0" encoding="utf-8"?>
<sst xmlns="http://schemas.openxmlformats.org/spreadsheetml/2006/main" count="7038" uniqueCount="628">
  <si>
    <t>FileHeader</t>
  </si>
  <si>
    <t>MarkDown</t>
  </si>
  <si>
    <t>Offset</t>
  </si>
  <si>
    <t>HEX</t>
  </si>
  <si>
    <t>Type</t>
  </si>
  <si>
    <t>Name</t>
  </si>
  <si>
    <t>Description</t>
  </si>
  <si>
    <t>Bound</t>
  </si>
  <si>
    <t>ToMax</t>
  </si>
  <si>
    <t>3433444D</t>
  </si>
  <si>
    <t>String</t>
  </si>
  <si>
    <t>FileID</t>
  </si>
  <si>
    <r>
      <rPr>
        <sz val="11"/>
        <color rgb="FF000000"/>
        <rFont val="Consolas"/>
        <charset val="134"/>
      </rPr>
      <t>M3</t>
    </r>
    <r>
      <rPr>
        <sz val="11"/>
        <color rgb="FF000000"/>
        <rFont val="宋体"/>
        <charset val="134"/>
      </rPr>
      <t>文件类型标识</t>
    </r>
  </si>
  <si>
    <t>"MD33","MD34"</t>
  </si>
  <si>
    <t>10270000</t>
  </si>
  <si>
    <t>Long</t>
  </si>
  <si>
    <t>TagAddr</t>
  </si>
  <si>
    <r>
      <rPr>
        <sz val="11"/>
        <color rgb="FF000000"/>
        <rFont val="Consolas"/>
        <charset val="134"/>
      </rPr>
      <t>TagStruct</t>
    </r>
    <r>
      <rPr>
        <sz val="11"/>
        <color rgb="FF000000"/>
        <rFont val="宋体"/>
        <charset val="134"/>
      </rPr>
      <t>入口地址</t>
    </r>
  </si>
  <si>
    <t>34000000</t>
  </si>
  <si>
    <t>TagCount</t>
  </si>
  <si>
    <r>
      <rPr>
        <sz val="11"/>
        <color rgb="FF000000"/>
        <rFont val="Consolas"/>
        <charset val="134"/>
      </rPr>
      <t>TagStruct</t>
    </r>
    <r>
      <rPr>
        <sz val="11"/>
        <color rgb="FF000000"/>
        <rFont val="宋体"/>
        <charset val="134"/>
      </rPr>
      <t>数量</t>
    </r>
  </si>
  <si>
    <t>[0,...]</t>
  </si>
  <si>
    <t>01000000</t>
  </si>
  <si>
    <t>00000000</t>
  </si>
  <si>
    <t>TagRef</t>
  </si>
  <si>
    <t>MODL</t>
  </si>
  <si>
    <t>ModelInfo</t>
  </si>
  <si>
    <t>Ver:</t>
  </si>
  <si>
    <t>0x1A</t>
  </si>
  <si>
    <t>02000000</t>
  </si>
  <si>
    <t>CHAR</t>
  </si>
  <si>
    <t>MaxFilePath</t>
  </si>
  <si>
    <t>53180800</t>
  </si>
  <si>
    <t>Flags</t>
  </si>
  <si>
    <t>VertexID</t>
  </si>
  <si>
    <r>
      <rPr>
        <sz val="11"/>
        <color rgb="FF000000"/>
        <rFont val="宋体"/>
        <charset val="134"/>
      </rPr>
      <t>顶点类型标识</t>
    </r>
  </si>
  <si>
    <t>03000000</t>
  </si>
  <si>
    <t>SEQS</t>
  </si>
  <si>
    <t>Sequence</t>
  </si>
  <si>
    <t>05000000</t>
  </si>
  <si>
    <t>STC</t>
  </si>
  <si>
    <t>SeqTransCollection</t>
  </si>
  <si>
    <t>0D000000</t>
  </si>
  <si>
    <t>STG</t>
  </si>
  <si>
    <t>SeqTransGroup</t>
  </si>
  <si>
    <t>10000000</t>
  </si>
  <si>
    <t>STS</t>
  </si>
  <si>
    <t>SeqTransSet</t>
  </si>
  <si>
    <t>12000000</t>
  </si>
  <si>
    <t>BONE</t>
  </si>
  <si>
    <t>Bone</t>
  </si>
  <si>
    <t>SkinnedBones</t>
  </si>
  <si>
    <r>
      <rPr>
        <sz val="11"/>
        <color rgb="FF000000"/>
        <rFont val="宋体"/>
        <charset val="134"/>
      </rPr>
      <t>蒙皮骨骼数量</t>
    </r>
  </si>
  <si>
    <t>7D008201</t>
  </si>
  <si>
    <t>Bit1</t>
  </si>
  <si>
    <t>VertexFlags</t>
  </si>
  <si>
    <t>记录UVLayout的数量</t>
  </si>
  <si>
    <t>Bit2</t>
  </si>
  <si>
    <t>Bit3</t>
  </si>
  <si>
    <t>Bit4</t>
  </si>
  <si>
    <t>Bit5</t>
  </si>
  <si>
    <t>Bit6</t>
  </si>
  <si>
    <t>Bit7</t>
  </si>
  <si>
    <t>Bit8</t>
  </si>
  <si>
    <t>Bit9</t>
  </si>
  <si>
    <t>Bit10</t>
  </si>
  <si>
    <t>Bit11</t>
  </si>
  <si>
    <t>Bit12</t>
  </si>
  <si>
    <t>Bit13</t>
  </si>
  <si>
    <t>Bit14</t>
  </si>
  <si>
    <t>Bit15</t>
  </si>
  <si>
    <t>Bit16</t>
  </si>
  <si>
    <t>Bit17</t>
  </si>
  <si>
    <t>Bit18</t>
  </si>
  <si>
    <t>Bit19</t>
  </si>
  <si>
    <t>Bit20</t>
  </si>
  <si>
    <t>Bit21</t>
  </si>
  <si>
    <t>Bit22</t>
  </si>
  <si>
    <t>Bit23</t>
  </si>
  <si>
    <t>Bit24</t>
  </si>
  <si>
    <t>Bit25</t>
  </si>
  <si>
    <t>Bit26</t>
  </si>
  <si>
    <t>Bit27</t>
  </si>
  <si>
    <t>Bit28</t>
  </si>
  <si>
    <t>Bit29</t>
  </si>
  <si>
    <t>Bit30</t>
  </si>
  <si>
    <t>Bit31</t>
  </si>
  <si>
    <t>Bit32</t>
  </si>
  <si>
    <t>00030000</t>
  </si>
  <si>
    <t>14000000</t>
  </si>
  <si>
    <t>U8</t>
  </si>
  <si>
    <t>Vertex</t>
  </si>
  <si>
    <t>15000000</t>
  </si>
  <si>
    <t>DIV</t>
  </si>
  <si>
    <t>Division</t>
  </si>
  <si>
    <t>1A000000</t>
  </si>
  <si>
    <t>U16</t>
  </si>
  <si>
    <t>BoneLookup</t>
  </si>
  <si>
    <t>999999BD</t>
  </si>
  <si>
    <t>BndSphere</t>
  </si>
  <si>
    <t>BoundSphere</t>
  </si>
  <si>
    <t>模型边界球</t>
  </si>
  <si>
    <t>9999993D</t>
  </si>
  <si>
    <t>9999193E</t>
  </si>
  <si>
    <t>8105053E</t>
  </si>
  <si>
    <t>ATT</t>
  </si>
  <si>
    <t>Attachment</t>
  </si>
  <si>
    <t>AttachmentLookup</t>
  </si>
  <si>
    <t>LITE</t>
  </si>
  <si>
    <t>Light</t>
  </si>
  <si>
    <t>CAM</t>
  </si>
  <si>
    <t>Camera</t>
  </si>
  <si>
    <t>CameraLookup</t>
  </si>
  <si>
    <t>1B000000</t>
  </si>
  <si>
    <t>MATM</t>
  </si>
  <si>
    <t>MaterialMatch</t>
  </si>
  <si>
    <t>1C000000</t>
  </si>
  <si>
    <t>MAT</t>
  </si>
  <si>
    <t>Standard</t>
  </si>
  <si>
    <t>DIS</t>
  </si>
  <si>
    <t>Displacement</t>
  </si>
  <si>
    <t>CMP</t>
  </si>
  <si>
    <t>Composite</t>
  </si>
  <si>
    <t>TER</t>
  </si>
  <si>
    <t>Terrain</t>
  </si>
  <si>
    <t>VOL</t>
  </si>
  <si>
    <t>Volume</t>
  </si>
  <si>
    <t>CREP</t>
  </si>
  <si>
    <t>Creep</t>
  </si>
  <si>
    <t>VON</t>
  </si>
  <si>
    <t>VolumeNoise</t>
  </si>
  <si>
    <t>STBM</t>
  </si>
  <si>
    <t>SplatTerrainBake</t>
  </si>
  <si>
    <t>LFLR</t>
  </si>
  <si>
    <t>Flare</t>
  </si>
  <si>
    <t>PAR</t>
  </si>
  <si>
    <t>Particle</t>
  </si>
  <si>
    <t>PROJ</t>
  </si>
  <si>
    <t>Projecter</t>
  </si>
  <si>
    <t>RIB</t>
  </si>
  <si>
    <t>Ribbon</t>
  </si>
  <si>
    <t>33000000</t>
  </si>
  <si>
    <t>IREF</t>
  </si>
  <si>
    <t>BindingPose</t>
  </si>
  <si>
    <t>HitTest</t>
  </si>
  <si>
    <t>HitTestTight</t>
  </si>
  <si>
    <t>Tight类型模型点击球</t>
  </si>
  <si>
    <t>FFFF0000</t>
  </si>
  <si>
    <t>0000803F</t>
  </si>
  <si>
    <t>SSGS</t>
  </si>
  <si>
    <t>HitTestFuzzy</t>
  </si>
  <si>
    <t>ATVL</t>
  </si>
  <si>
    <t>AttachVolume</t>
  </si>
  <si>
    <t>AttachVolumeLookup1</t>
  </si>
  <si>
    <t>AttachVolumeLookup2</t>
  </si>
  <si>
    <t>BBSC</t>
  </si>
  <si>
    <t>BillBoard</t>
  </si>
  <si>
    <t>AnimRef</t>
  </si>
  <si>
    <t>Unknown</t>
  </si>
  <si>
    <t>74C07E0C</t>
  </si>
  <si>
    <t>0x1D</t>
  </si>
  <si>
    <t>1C010000</t>
  </si>
  <si>
    <t>Unknown(Struct:PATU)</t>
  </si>
  <si>
    <t>40000000</t>
  </si>
  <si>
    <t>21010000</t>
  </si>
  <si>
    <t>Turret(TRGD)</t>
  </si>
  <si>
    <t>StandardMat</t>
  </si>
  <si>
    <t>0x14</t>
  </si>
  <si>
    <t>20000000</t>
  </si>
  <si>
    <t>MatName</t>
  </si>
  <si>
    <t>0C000000</t>
  </si>
  <si>
    <t>aFlags</t>
  </si>
  <si>
    <t>DepthBlend</t>
  </si>
  <si>
    <t>CastTransparentShadows</t>
  </si>
  <si>
    <t>03400080</t>
  </si>
  <si>
    <t>bFlags</t>
  </si>
  <si>
    <t>VtxColor</t>
  </si>
  <si>
    <t>VtxAlpha</t>
  </si>
  <si>
    <t>NormBlendEnable</t>
  </si>
  <si>
    <t>TwoSided</t>
  </si>
  <si>
    <t>Unlit</t>
  </si>
  <si>
    <t>CastShadows</t>
  </si>
  <si>
    <t>invert</t>
  </si>
  <si>
    <t>RecvShadows</t>
  </si>
  <si>
    <t>TranslucencyDepthWrite</t>
  </si>
  <si>
    <t>SimulateRoughness</t>
  </si>
  <si>
    <t>PerPixelForwardLighting</t>
  </si>
  <si>
    <t>DepthFog</t>
  </si>
  <si>
    <t>DecalLighting</t>
  </si>
  <si>
    <t>TransaprencyAffectsDOF</t>
  </si>
  <si>
    <t>TransparencyLocalLights</t>
  </si>
  <si>
    <t>DisableSoftBlend</t>
  </si>
  <si>
    <t>ForceDoubleLambertShading</t>
  </si>
  <si>
    <t>HairSorting</t>
  </si>
  <si>
    <t>AcceptSplats</t>
  </si>
  <si>
    <t>RequiresDecal</t>
  </si>
  <si>
    <t>RequiresEmissive</t>
  </si>
  <si>
    <t>RequiresSpecular</t>
  </si>
  <si>
    <t>OnlyAcceptSplats</t>
  </si>
  <si>
    <t>BackgroundObject</t>
  </si>
  <si>
    <t>NormBlendEnableMask2</t>
  </si>
  <si>
    <t>RequiresZFill</t>
  </si>
  <si>
    <t>NoHighlights</t>
  </si>
  <si>
    <t>ClampOutput</t>
  </si>
  <si>
    <t>MainPass</t>
  </si>
  <si>
    <t>blendMode</t>
  </si>
  <si>
    <t>[0,2,4,5,1,7]</t>
  </si>
  <si>
    <t>[0...5]</t>
  </si>
  <si>
    <t>priority</t>
  </si>
  <si>
    <t>[±100]</t>
  </si>
  <si>
    <t>useRTTChannels</t>
  </si>
  <si>
    <t>0000A041</t>
  </si>
  <si>
    <t>Float</t>
  </si>
  <si>
    <t>SpecularPower</t>
  </si>
  <si>
    <t>[0...10000]</t>
  </si>
  <si>
    <t>DepthBlendFallOff</t>
  </si>
  <si>
    <t>[0...255]</t>
  </si>
  <si>
    <t>AlphaTestThreshold</t>
  </si>
  <si>
    <t>HDRSpecularMul</t>
  </si>
  <si>
    <t>[0...100]</t>
  </si>
  <si>
    <t>HDREmissiveMul</t>
  </si>
  <si>
    <t>ENVConstantMul</t>
  </si>
  <si>
    <t>[0...1]</t>
  </si>
  <si>
    <t>ENVDiffuseMul</t>
  </si>
  <si>
    <t>ENVSpecularMul</t>
  </si>
  <si>
    <t>21000000</t>
  </si>
  <si>
    <t>LAYR</t>
  </si>
  <si>
    <t>Diffuse</t>
  </si>
  <si>
    <t>22000000</t>
  </si>
  <si>
    <t>Decal</t>
  </si>
  <si>
    <t>23000000</t>
  </si>
  <si>
    <t>Specular</t>
  </si>
  <si>
    <t>24000000</t>
  </si>
  <si>
    <t>GlossExp</t>
  </si>
  <si>
    <t>25000000</t>
  </si>
  <si>
    <t>Emissive1</t>
  </si>
  <si>
    <t>26000000</t>
  </si>
  <si>
    <t>Emissive2</t>
  </si>
  <si>
    <t>27000000</t>
  </si>
  <si>
    <t>Environment</t>
  </si>
  <si>
    <t>28000000</t>
  </si>
  <si>
    <t>EnvironmentMask</t>
  </si>
  <si>
    <t>29000000</t>
  </si>
  <si>
    <t>AlphaMask</t>
  </si>
  <si>
    <t>2A000000</t>
  </si>
  <si>
    <t>AlphaMask2</t>
  </si>
  <si>
    <t>2B000000</t>
  </si>
  <si>
    <t>NormalMap</t>
  </si>
  <si>
    <t>2C000000</t>
  </si>
  <si>
    <t>HeightMap</t>
  </si>
  <si>
    <t>2D000000</t>
  </si>
  <si>
    <t>LightMap</t>
  </si>
  <si>
    <t>2E000000</t>
  </si>
  <si>
    <t>AmbientOcclusion</t>
  </si>
  <si>
    <t>2F000000</t>
  </si>
  <si>
    <t>NormBlendMask1</t>
  </si>
  <si>
    <t>30000000</t>
  </si>
  <si>
    <t>NormBlendMask2</t>
  </si>
  <si>
    <t>31000000</t>
  </si>
  <si>
    <t>NormBlendNormal1</t>
  </si>
  <si>
    <t>32000000</t>
  </si>
  <si>
    <t>NormBlendNormal2</t>
  </si>
  <si>
    <t>EnvBlendType</t>
  </si>
  <si>
    <t>[0...3]</t>
  </si>
  <si>
    <t>emisBlendType1</t>
  </si>
  <si>
    <t>[2,3,4,0,1]</t>
  </si>
  <si>
    <t>[0...4]</t>
  </si>
  <si>
    <t>emisBlendType2</t>
  </si>
  <si>
    <t>SpecularType</t>
  </si>
  <si>
    <t>01000800</t>
  </si>
  <si>
    <t>ParallaxHeight</t>
  </si>
  <si>
    <t>[0...0.25]</t>
  </si>
  <si>
    <t>*100</t>
  </si>
  <si>
    <t>8B9DF862</t>
  </si>
  <si>
    <t>FFFFFFFF</t>
  </si>
  <si>
    <t>E76F6F15</t>
  </si>
  <si>
    <t>SR32</t>
  </si>
  <si>
    <t>NormalBlending Ext-Parameter</t>
  </si>
  <si>
    <t>0x17</t>
  </si>
  <si>
    <t>BoneIndex</t>
  </si>
  <si>
    <t>+1</t>
  </si>
  <si>
    <t>MatIndex</t>
  </si>
  <si>
    <t>08000000</t>
  </si>
  <si>
    <t>ParticleFlags1</t>
  </si>
  <si>
    <t>InitialVelocitySpeedRange</t>
  </si>
  <si>
    <t>LifetimeRange</t>
  </si>
  <si>
    <t>MassRange</t>
  </si>
  <si>
    <t>WorldSpaceParticles</t>
  </si>
  <si>
    <t>InitialVelocitySpeedMin</t>
  </si>
  <si>
    <t>[±50]</t>
  </si>
  <si>
    <t>2F656B3F</t>
  </si>
  <si>
    <t>InitialVelocitySpeedMax</t>
  </si>
  <si>
    <t>72DE926E</t>
  </si>
  <si>
    <t>InitialVelocityYaw</t>
  </si>
  <si>
    <t>[±180]</t>
  </si>
  <si>
    <t>B57A3572</t>
  </si>
  <si>
    <t>InitialVelocityPitch</t>
  </si>
  <si>
    <t>DC87E02F</t>
  </si>
  <si>
    <t>InitialVelocityHorzSpread</t>
  </si>
  <si>
    <t>[0,Pi]</t>
  </si>
  <si>
    <t>*360/Pi</t>
  </si>
  <si>
    <t>E602BD74</t>
  </si>
  <si>
    <t>InitialVelocityVertSpread</t>
  </si>
  <si>
    <t>80651779</t>
  </si>
  <si>
    <t>LifetimeMin</t>
  </si>
  <si>
    <t>[0,60]</t>
  </si>
  <si>
    <t>D0399F78</t>
  </si>
  <si>
    <t>0000A040</t>
  </si>
  <si>
    <t>LifetimeMax</t>
  </si>
  <si>
    <t>DF429234</t>
  </si>
  <si>
    <t>KillSphereRadius</t>
  </si>
  <si>
    <t>[0,5000]</t>
  </si>
  <si>
    <t>00000080</t>
  </si>
  <si>
    <t>Gravity</t>
  </si>
  <si>
    <t>[±1000]</t>
  </si>
  <si>
    <t>*(-100)</t>
  </si>
  <si>
    <t>DBF97E3F</t>
  </si>
  <si>
    <t>SizeMidTime</t>
  </si>
  <si>
    <t>[0,1]</t>
  </si>
  <si>
    <t>ColorMidTime</t>
  </si>
  <si>
    <t>AlphaMidTime</t>
  </si>
  <si>
    <t>RotationMidTime</t>
  </si>
  <si>
    <t>SizeMidHoldTime</t>
  </si>
  <si>
    <t>ColorMidHoldTime</t>
  </si>
  <si>
    <t>AlphaMidHoldTime</t>
  </si>
  <si>
    <t>RotationMidHoldTime</t>
  </si>
  <si>
    <t>Float[3]</t>
  </si>
  <si>
    <t>SizeMinBegin
SizeMinMid
SizeMinEnd</t>
  </si>
  <si>
    <t>[0,10]</t>
  </si>
  <si>
    <t>80DC3E4F</t>
  </si>
  <si>
    <t>CCCCCC3D</t>
  </si>
  <si>
    <t>RotationMinBegin
RotationMinMid
RotationMinEnd</t>
  </si>
  <si>
    <t>[±200*Pi]</t>
  </si>
  <si>
    <t>*180/Pi</t>
  </si>
  <si>
    <t>7493D535</t>
  </si>
  <si>
    <t>UByte[4]</t>
  </si>
  <si>
    <t>ColorMinBegin
AlphaMinBegin</t>
  </si>
  <si>
    <t>[0,255]</t>
  </si>
  <si>
    <t>F9D20655</t>
  </si>
  <si>
    <t>ColorMinMid
AlphaMinMid</t>
  </si>
  <si>
    <t>B8E31D4C</t>
  </si>
  <si>
    <t>ColorMinEnd
AlphaMinEnd</t>
  </si>
  <si>
    <t>7BB03067</t>
  </si>
  <si>
    <t>Drag</t>
  </si>
  <si>
    <t>[0,100]</t>
  </si>
  <si>
    <t>MassMin</t>
  </si>
  <si>
    <t>[0.001,1000]</t>
  </si>
  <si>
    <t>MassMax</t>
  </si>
  <si>
    <t>MassSizeMultiplier</t>
  </si>
  <si>
    <t>ParticleGroup</t>
  </si>
  <si>
    <t>NoiseAmplitude</t>
  </si>
  <si>
    <t>NoiseFrequency</t>
  </si>
  <si>
    <t>NoiseSpeed</t>
  </si>
  <si>
    <t>CDCCCC3D</t>
  </si>
  <si>
    <t>NoiseFallOff</t>
  </si>
  <si>
    <t>F4010000</t>
  </si>
  <si>
    <t>MaxParticles</t>
  </si>
  <si>
    <t>EmissionRate</t>
  </si>
  <si>
    <t>9BA8276A</t>
  </si>
  <si>
    <t>0000C841</t>
  </si>
  <si>
    <t>EmitterType</t>
  </si>
  <si>
    <t>OuterWidth
OuterLength
OuterHeight</t>
  </si>
  <si>
    <t>CB7D4D27</t>
  </si>
  <si>
    <t>InnerWidth
InnerLength
InnerHeight</t>
  </si>
  <si>
    <t>AC642B36</t>
  </si>
  <si>
    <t>OuterRadius</t>
  </si>
  <si>
    <t>BE4B7F43</t>
  </si>
  <si>
    <t>InnerRadius</t>
  </si>
  <si>
    <t>74693A68</t>
  </si>
  <si>
    <t>U32</t>
  </si>
  <si>
    <t>MeshLink</t>
  </si>
  <si>
    <t>InitialVelocityType</t>
  </si>
  <si>
    <t>[0,4]</t>
  </si>
  <si>
    <t>SizeRange</t>
  </si>
  <si>
    <t>ToBool</t>
  </si>
  <si>
    <t>SizeMaxBegin
SizeMaxMid
SizeMaxEnd</t>
  </si>
  <si>
    <t>1D1B1B5A</t>
  </si>
  <si>
    <t>RotationRange</t>
  </si>
  <si>
    <t>RotationMaxBegin
RotationMaxMid
RotationMaxEnd</t>
  </si>
  <si>
    <t>BF1DA023</t>
  </si>
  <si>
    <t>ColorRange</t>
  </si>
  <si>
    <t>ColorMaxBegin
AlphaMaxBegin</t>
  </si>
  <si>
    <t>4757EA0B</t>
  </si>
  <si>
    <t>ColorMaxMid
AlphaMaxMid</t>
  </si>
  <si>
    <t>0666F112</t>
  </si>
  <si>
    <t>ColorMaxEnd
AlphaMaxEnd</t>
  </si>
  <si>
    <t>C535DC39</t>
  </si>
  <si>
    <t>AlphaRange</t>
  </si>
  <si>
    <t>Short</t>
  </si>
  <si>
    <t>SquirtQuantity</t>
  </si>
  <si>
    <t>C3460139</t>
  </si>
  <si>
    <t>0000</t>
  </si>
  <si>
    <t>00</t>
  </si>
  <si>
    <t>UByte</t>
  </si>
  <si>
    <t>FlipbookBegin</t>
  </si>
  <si>
    <t>FlipbookMid</t>
  </si>
  <si>
    <t>FlipbookEnd</t>
  </si>
  <si>
    <t>FlipbookMidTime</t>
  </si>
  <si>
    <t>UShort</t>
  </si>
  <si>
    <t>FlipbookColumns</t>
  </si>
  <si>
    <t>FlipbookRows</t>
  </si>
  <si>
    <t>0000807F</t>
  </si>
  <si>
    <t>ParticleBounceAmount</t>
  </si>
  <si>
    <t>ParticleFriction</t>
  </si>
  <si>
    <t>ParticleLink</t>
  </si>
  <si>
    <t>[-1,...]</t>
  </si>
  <si>
    <t>ParticleSpawnBounceMin</t>
  </si>
  <si>
    <t>ParticleSpawnBounceMax</t>
  </si>
  <si>
    <t>SpawnOnBounceChance</t>
  </si>
  <si>
    <t>ParticleBounceSpawnEnergy</t>
  </si>
  <si>
    <t>ParticleDieOnBounce</t>
  </si>
  <si>
    <t>ParticleInstanceType</t>
  </si>
  <si>
    <t>ParticleInstanceTailLength</t>
  </si>
  <si>
    <t>ParticleInstanceAngle</t>
  </si>
  <si>
    <t>ParticleInstanceOffset</t>
  </si>
  <si>
    <t>YawFunctionOverlay</t>
  </si>
  <si>
    <t>[0,6]</t>
  </si>
  <si>
    <t>YawFunctionAmplitude</t>
  </si>
  <si>
    <t>B6490369</t>
  </si>
  <si>
    <t>YawFunctionFrequency</t>
  </si>
  <si>
    <t>B469D124</t>
  </si>
  <si>
    <t>PitchFunctionOverlay</t>
  </si>
  <si>
    <t>PitchFunctionAmplitude</t>
  </si>
  <si>
    <t>AACC637F</t>
  </si>
  <si>
    <t>PitchFunctionFrequency</t>
  </si>
  <si>
    <t>A8ECB132</t>
  </si>
  <si>
    <t>SpeedFunctionOverlay</t>
  </si>
  <si>
    <t>SpeedFunctionAmplitude</t>
  </si>
  <si>
    <t>BF36D519</t>
  </si>
  <si>
    <t>SpeedFunctionFrequency</t>
  </si>
  <si>
    <t>BD160754</t>
  </si>
  <si>
    <t>SizeFunctionOverlay</t>
  </si>
  <si>
    <t>SizeFunctionAmplitude</t>
  </si>
  <si>
    <t>53066526</t>
  </si>
  <si>
    <t>SizeFunctionFrequency</t>
  </si>
  <si>
    <t>5126B76B</t>
  </si>
  <si>
    <t>AlphaFunctionOverlay</t>
  </si>
  <si>
    <t>AlphaFunctionAmplitude</t>
  </si>
  <si>
    <t>683A7668</t>
  </si>
  <si>
    <t>AlphaFunctionFrequency</t>
  </si>
  <si>
    <t>6A1AA425</t>
  </si>
  <si>
    <t>3697170E</t>
  </si>
  <si>
    <t>34B7C543</t>
  </si>
  <si>
    <t>RotationFunctionOverlay</t>
  </si>
  <si>
    <t>RotationFunctionAmplitude</t>
  </si>
  <si>
    <t>FF497F5C</t>
  </si>
  <si>
    <t>RotationFunctionFrequency</t>
  </si>
  <si>
    <t>FD69AD11</t>
  </si>
  <si>
    <t>HorzSpreadFunctionOverlay</t>
  </si>
  <si>
    <t>HorzSpreadFunctionAmplitude</t>
  </si>
  <si>
    <t>539EC262</t>
  </si>
  <si>
    <t>HorzSpreadFunctionFrequency</t>
  </si>
  <si>
    <t>51BE102F</t>
  </si>
  <si>
    <t>VertSpreadFunctionOverlay</t>
  </si>
  <si>
    <t>VertSpreadFunctionAmplitude</t>
  </si>
  <si>
    <t>C0518D00</t>
  </si>
  <si>
    <t>VertSpreadFunctionFrequency</t>
  </si>
  <si>
    <t>C2715F4D</t>
  </si>
  <si>
    <t>InheritParentVelocityPercent</t>
  </si>
  <si>
    <t>5A7A6A70</t>
  </si>
  <si>
    <t>OverlayOffset</t>
  </si>
  <si>
    <t>E9388B64</t>
  </si>
  <si>
    <t>00000200</t>
  </si>
  <si>
    <t>ParticleFlags2</t>
  </si>
  <si>
    <t>EnableSorting</t>
  </si>
  <si>
    <t>EnableTerrainCollisio</t>
  </si>
  <si>
    <t>EnableObjectCollision</t>
  </si>
  <si>
    <t>EnableIndependentOnBo</t>
  </si>
  <si>
    <t>UseInnerShape</t>
  </si>
  <si>
    <t>InheritParentVelocity</t>
  </si>
  <si>
    <t>SortOnZHeight</t>
  </si>
  <si>
    <t>ReverseParticleItr</t>
  </si>
  <si>
    <t>RotSmSmTRUE</t>
  </si>
  <si>
    <t>RotSmBezierTRUE</t>
  </si>
  <si>
    <t>sizeSmSmTRUE</t>
  </si>
  <si>
    <t>sizeSmBezierTRUE</t>
  </si>
  <si>
    <t>colorSmSmTRUE</t>
  </si>
  <si>
    <t>colorSmBezierTRUE</t>
  </si>
  <si>
    <t>LitParticles</t>
  </si>
  <si>
    <t>FlipBookRandomStart</t>
  </si>
  <si>
    <t>MultiplyByMapGravity</t>
  </si>
  <si>
    <t>ClampedTailLength</t>
  </si>
  <si>
    <t>存在TrailChance设置T</t>
  </si>
  <si>
    <t>FixedTailLength</t>
  </si>
  <si>
    <t>AlphaStart不是255时T</t>
  </si>
  <si>
    <t>UseModel</t>
  </si>
  <si>
    <t>SwapYZOnLinkedModels</t>
  </si>
  <si>
    <t>ScaleTimeByParent</t>
  </si>
  <si>
    <t>LocalTime</t>
  </si>
  <si>
    <t>SimulateOnInit</t>
  </si>
  <si>
    <t>ForceCPUSimulation</t>
  </si>
  <si>
    <t>ScreenSpace</t>
  </si>
  <si>
    <t>ScreenSpaceMapped</t>
  </si>
  <si>
    <t>06000000</t>
  </si>
  <si>
    <t>ParticleFlags3</t>
  </si>
  <si>
    <t>UV2RandomOffset</t>
  </si>
  <si>
    <t>RotationRelative</t>
  </si>
  <si>
    <t>KillSphereEnable</t>
  </si>
  <si>
    <t>ParticleVelocityXYOnlyCheck</t>
  </si>
  <si>
    <t>Particle_Inherit_Scale_On_Spawning</t>
  </si>
  <si>
    <t>ParticleInheritScaleOnSpawning</t>
  </si>
  <si>
    <t>RandomRotationAxisOnLinkedModels</t>
  </si>
  <si>
    <t>SmoothColorInterpolation</t>
  </si>
  <si>
    <t>SmoothSizeInterpolation</t>
  </si>
  <si>
    <t>SmoothRotationInterpolation</t>
  </si>
  <si>
    <t>AlphaThreshold</t>
  </si>
  <si>
    <t>6967804C</t>
  </si>
  <si>
    <t>00004043</t>
  </si>
  <si>
    <t>Float[2]</t>
  </si>
  <si>
    <t>UOffset
VOffset</t>
  </si>
  <si>
    <t>5B20F229</t>
  </si>
  <si>
    <t>UAngle
VAngle
WAngle</t>
  </si>
  <si>
    <t>[±360]</t>
  </si>
  <si>
    <t>3BD09F44</t>
  </si>
  <si>
    <t>UTiling
VTiling</t>
  </si>
  <si>
    <t>3865776D</t>
  </si>
  <si>
    <t>SVC3</t>
  </si>
  <si>
    <t>SplineLink</t>
  </si>
  <si>
    <t>GlobalWindScalar</t>
  </si>
  <si>
    <t>LODReduction</t>
  </si>
  <si>
    <t>[0,3]</t>
  </si>
  <si>
    <t>LODCut</t>
  </si>
  <si>
    <t>SplineShapeLowerBound</t>
  </si>
  <si>
    <t>2211AE6C</t>
  </si>
  <si>
    <t>SplineShapeUpperBound</t>
  </si>
  <si>
    <t>C05CD10B</t>
  </si>
  <si>
    <t>TrailingParticleLink</t>
  </si>
  <si>
    <t>TrailPercentChance</t>
  </si>
  <si>
    <t>TrailEmissionRate</t>
  </si>
  <si>
    <t>3145BC77</t>
  </si>
  <si>
    <t>ParticleSplatLink</t>
  </si>
  <si>
    <t>SpawnSplatOnBounceChance</t>
  </si>
  <si>
    <t>SCHR</t>
  </si>
  <si>
    <t>ModelName</t>
  </si>
  <si>
    <t>CopyIndex</t>
  </si>
  <si>
    <t>0x0C</t>
  </si>
  <si>
    <t>ULong</t>
  </si>
  <si>
    <t>Spline</t>
  </si>
  <si>
    <t>String[]</t>
  </si>
  <si>
    <t>0x12</t>
  </si>
  <si>
    <t>0x13</t>
  </si>
  <si>
    <t>0x15</t>
  </si>
  <si>
    <t>0x16</t>
  </si>
  <si>
    <t>0x18</t>
  </si>
  <si>
    <t>MassMultiplier</t>
  </si>
  <si>
    <t>0x07</t>
  </si>
  <si>
    <t>0100</t>
  </si>
  <si>
    <t>LightTypes</t>
  </si>
  <si>
    <t>[1,2]</t>
  </si>
  <si>
    <t>0200</t>
  </si>
  <si>
    <t>LightFlags</t>
  </si>
  <si>
    <t>WorldLight/shadowCast</t>
  </si>
  <si>
    <t>affectedByAO</t>
  </si>
  <si>
    <t>lightOpaqueObjects</t>
  </si>
  <si>
    <t>lightTransparentObjects</t>
  </si>
  <si>
    <t>UseTeamColor</t>
  </si>
  <si>
    <t>LightLODCut</t>
  </si>
  <si>
    <t>ShadowLODCut</t>
  </si>
  <si>
    <t>DiffuseColor</t>
  </si>
  <si>
    <t>*255</t>
  </si>
  <si>
    <t>41D4442F</t>
  </si>
  <si>
    <t>19000000</t>
  </si>
  <si>
    <t>01000600</t>
  </si>
  <si>
    <t>Intensity</t>
  </si>
  <si>
    <t>42A0422D</t>
  </si>
  <si>
    <t>SpecularColor</t>
  </si>
  <si>
    <t>F10D0E3E</t>
  </si>
  <si>
    <t>SpecularMultiplier</t>
  </si>
  <si>
    <t>08ED8E73</t>
  </si>
  <si>
    <t>Decay</t>
  </si>
  <si>
    <t>[0,200]</t>
  </si>
  <si>
    <t>E1C6955A</t>
  </si>
  <si>
    <t>8FC22540</t>
  </si>
  <si>
    <t>1D000000</t>
  </si>
  <si>
    <t>AttenEnd</t>
  </si>
  <si>
    <t>AttenStart</t>
  </si>
  <si>
    <t>D4E52276</t>
  </si>
  <si>
    <t>1B5AB43F</t>
  </si>
  <si>
    <t>1E000000</t>
  </si>
  <si>
    <t>Hotspot</t>
  </si>
  <si>
    <t>8F23D457</t>
  </si>
  <si>
    <t>1F000000</t>
  </si>
  <si>
    <t>Falloff</t>
  </si>
  <si>
    <t>CAF2D206</t>
  </si>
  <si>
    <t>0x05</t>
  </si>
  <si>
    <t>CameraName</t>
  </si>
  <si>
    <t>FOV</t>
  </si>
  <si>
    <t>[0...175]*Pi/180</t>
  </si>
  <si>
    <t>DAAED23B</t>
  </si>
  <si>
    <t>DB0F493F</t>
  </si>
  <si>
    <t>6666263F</t>
  </si>
  <si>
    <t>useVertFOV</t>
  </si>
  <si>
    <t>DOF-Type</t>
  </si>
  <si>
    <t>FarClip</t>
  </si>
  <si>
    <t>[0...]</t>
  </si>
  <si>
    <t>3B221909</t>
  </si>
  <si>
    <t>00002041</t>
  </si>
  <si>
    <t>NearClip</t>
  </si>
  <si>
    <t>8964B668</t>
  </si>
  <si>
    <t>shadowClipDistance</t>
  </si>
  <si>
    <t>29037C7E</t>
  </si>
  <si>
    <t>focusDistance</t>
  </si>
  <si>
    <t>7CE95C14</t>
  </si>
  <si>
    <t>CCCC4C3D</t>
  </si>
  <si>
    <t>fullFocusRange</t>
  </si>
  <si>
    <t>FED1ED7A</t>
  </si>
  <si>
    <t>0AD7233C</t>
  </si>
  <si>
    <t>noFocusRange</t>
  </si>
  <si>
    <t>27B85759</t>
  </si>
  <si>
    <t>0AD7A33C</t>
  </si>
  <si>
    <t>00000040</t>
  </si>
  <si>
    <t>nearFalloffStart</t>
  </si>
  <si>
    <t>3F988C67</t>
  </si>
  <si>
    <t>nearFalloffEnd</t>
  </si>
  <si>
    <t>E32A232A</t>
  </si>
  <si>
    <t>dofAmount</t>
  </si>
  <si>
    <t>D351F87F</t>
  </si>
  <si>
    <t>bokehFStop</t>
  </si>
  <si>
    <t>8F5C0911</t>
  </si>
  <si>
    <t>bokehMaxCoCDiameter</t>
  </si>
  <si>
    <t>CD7DBC47</t>
  </si>
  <si>
    <t>0000D841</t>
  </si>
  <si>
    <t>MeshExtraInfo</t>
  </si>
  <si>
    <t>0x01</t>
  </si>
  <si>
    <t>0500</t>
  </si>
  <si>
    <t>MeshIndex</t>
  </si>
  <si>
    <t>0E00</t>
  </si>
  <si>
    <t>3600</t>
  </si>
</sst>
</file>

<file path=xl/styles.xml><?xml version="1.0" encoding="utf-8"?>
<styleSheet xmlns="http://schemas.openxmlformats.org/spreadsheetml/2006/main">
  <numFmts count="6">
    <numFmt numFmtId="41" formatCode="_ * #,##0_ ;_ * \-#,##0_ ;_ * &quot;-&quot;_ ;_ @_ "/>
    <numFmt numFmtId="43" formatCode="_ * #,##0.00_ ;_ * \-#,##0.00_ ;_ * &quot;-&quot;??_ ;_ @_ "/>
    <numFmt numFmtId="176" formatCode="\(0\)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177" formatCode="&quot;0x&quot;0"/>
  </numFmts>
  <fonts count="23">
    <font>
      <sz val="11"/>
      <color rgb="FF000000"/>
      <name val="宋体"/>
      <charset val="134"/>
    </font>
    <font>
      <sz val="11"/>
      <color rgb="FF000000"/>
      <name val="Consolas"/>
      <charset val="134"/>
    </font>
    <font>
      <b/>
      <sz val="11"/>
      <color rgb="FF000000"/>
      <name val="Consolas"/>
      <charset val="134"/>
    </font>
    <font>
      <strike/>
      <sz val="11"/>
      <color rgb="FF000000"/>
      <name val="Consolas"/>
      <charset val="134"/>
    </font>
    <font>
      <sz val="11"/>
      <color rgb="FFFFFFFF"/>
      <name val="宋体"/>
      <charset val="0"/>
    </font>
    <font>
      <sz val="11"/>
      <color rgb="FF000000"/>
      <name val="宋体"/>
      <charset val="0"/>
    </font>
    <font>
      <u/>
      <sz val="11"/>
      <color rgb="FF0000FF"/>
      <name val="宋体"/>
      <charset val="0"/>
    </font>
    <font>
      <sz val="11"/>
      <color rgb="FF9C6500"/>
      <name val="宋体"/>
      <charset val="0"/>
    </font>
    <font>
      <sz val="11"/>
      <color rgb="FF9C0006"/>
      <name val="宋体"/>
      <charset val="0"/>
    </font>
    <font>
      <sz val="11"/>
      <color rgb="FF3F3F76"/>
      <name val="宋体"/>
      <charset val="0"/>
    </font>
    <font>
      <u/>
      <sz val="11"/>
      <color rgb="FF800080"/>
      <name val="宋体"/>
      <charset val="0"/>
    </font>
    <font>
      <b/>
      <sz val="11"/>
      <color rgb="FFFFFFFF"/>
      <name val="宋体"/>
      <charset val="0"/>
    </font>
    <font>
      <b/>
      <sz val="18"/>
      <color rgb="FF44546A"/>
      <name val="宋体"/>
      <charset val="134"/>
    </font>
    <font>
      <b/>
      <sz val="11"/>
      <color rgb="FF44546A"/>
      <name val="宋体"/>
      <charset val="134"/>
    </font>
    <font>
      <sz val="11"/>
      <color rgb="FFFF0000"/>
      <name val="宋体"/>
      <charset val="0"/>
    </font>
    <font>
      <b/>
      <sz val="11"/>
      <color rgb="FF000000"/>
      <name val="宋体"/>
      <charset val="0"/>
    </font>
    <font>
      <i/>
      <sz val="11"/>
      <color rgb="FF7F7F7F"/>
      <name val="宋体"/>
      <charset val="0"/>
    </font>
    <font>
      <b/>
      <sz val="15"/>
      <color rgb="FF44546A"/>
      <name val="宋体"/>
      <charset val="134"/>
    </font>
    <font>
      <b/>
      <sz val="13"/>
      <color rgb="FF44546A"/>
      <name val="宋体"/>
      <charset val="134"/>
    </font>
    <font>
      <b/>
      <sz val="11"/>
      <color rgb="FF3F3F3F"/>
      <name val="宋体"/>
      <charset val="0"/>
    </font>
    <font>
      <sz val="11"/>
      <color rgb="FF006100"/>
      <name val="宋体"/>
      <charset val="0"/>
    </font>
    <font>
      <sz val="11"/>
      <color rgb="FFFA7D00"/>
      <name val="宋体"/>
      <charset val="0"/>
    </font>
    <font>
      <b/>
      <sz val="11"/>
      <color rgb="FFFA7D00"/>
      <name val="宋体"/>
      <charset val="0"/>
    </font>
  </fonts>
  <fills count="3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8"/>
        <bgColor indexed="64"/>
      </patternFill>
    </fill>
    <fill>
      <patternFill patternType="solid">
        <fgColor theme="0" tint="-0.2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C9C9C9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6EFCE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rgb="FF5B9BD5"/>
      </top>
      <bottom style="double">
        <color rgb="FF5B9BD5"/>
      </bottom>
      <diagonal/>
    </border>
    <border>
      <left/>
      <right/>
      <top/>
      <bottom style="medium">
        <color rgb="FF5B9BD5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rgb="FFACCCEA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9" fillId="24" borderId="1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0" fillId="14" borderId="13" applyNumberFormat="0" applyFont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17" applyNumberFormat="0" applyFill="0" applyAlignment="0" applyProtection="0">
      <alignment vertical="center"/>
    </xf>
    <xf numFmtId="0" fontId="18" fillId="0" borderId="17" applyNumberFormat="0" applyFill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13" fillId="0" borderId="19" applyNumberFormat="0" applyFill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19" fillId="34" borderId="18" applyNumberFormat="0" applyAlignment="0" applyProtection="0">
      <alignment vertical="center"/>
    </xf>
    <xf numFmtId="0" fontId="22" fillId="34" borderId="14" applyNumberFormat="0" applyAlignment="0" applyProtection="0">
      <alignment vertical="center"/>
    </xf>
    <xf numFmtId="0" fontId="11" fillId="26" borderId="15" applyNumberFormat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21" fillId="0" borderId="20" applyNumberFormat="0" applyFill="0" applyAlignment="0" applyProtection="0">
      <alignment vertical="center"/>
    </xf>
    <xf numFmtId="0" fontId="15" fillId="0" borderId="16" applyNumberFormat="0" applyFill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5" fillId="25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</cellStyleXfs>
  <cellXfs count="94">
    <xf numFmtId="0" fontId="0" fillId="0" borderId="0" xfId="0" applyNumberFormat="1" applyFont="1" applyFill="1" applyBorder="1" applyAlignment="1" applyProtection="1">
      <alignment vertical="center"/>
    </xf>
    <xf numFmtId="177" fontId="1" fillId="0" borderId="0" xfId="0" applyNumberFormat="1" applyFont="1" applyFill="1" applyBorder="1" applyAlignment="1" applyProtection="1">
      <alignment vertical="center"/>
    </xf>
    <xf numFmtId="176" fontId="1" fillId="0" borderId="0" xfId="0" applyNumberFormat="1" applyFont="1" applyFill="1" applyBorder="1" applyAlignment="1" applyProtection="1">
      <alignment vertical="center"/>
    </xf>
    <xf numFmtId="49" fontId="1" fillId="0" borderId="0" xfId="0" applyNumberFormat="1" applyFont="1" applyFill="1" applyBorder="1" applyAlignment="1" applyProtection="1">
      <alignment vertical="center"/>
    </xf>
    <xf numFmtId="0" fontId="1" fillId="0" borderId="0" xfId="0" applyNumberFormat="1" applyFont="1" applyFill="1" applyBorder="1" applyAlignment="1" applyProtection="1">
      <alignment vertical="center"/>
    </xf>
    <xf numFmtId="0" fontId="1" fillId="0" borderId="0" xfId="0" applyNumberFormat="1" applyFont="1" applyFill="1" applyBorder="1" applyAlignment="1" applyProtection="1">
      <alignment vertical="center" wrapText="1"/>
    </xf>
    <xf numFmtId="0" fontId="1" fillId="2" borderId="0" xfId="0" applyNumberFormat="1" applyFont="1" applyFill="1" applyBorder="1" applyAlignment="1" applyProtection="1">
      <alignment vertical="center"/>
    </xf>
    <xf numFmtId="177" fontId="2" fillId="0" borderId="0" xfId="0" applyNumberFormat="1" applyFont="1" applyFill="1" applyBorder="1" applyAlignment="1" applyProtection="1">
      <alignment vertical="center"/>
    </xf>
    <xf numFmtId="176" fontId="2" fillId="0" borderId="0" xfId="0" applyNumberFormat="1" applyFont="1" applyFill="1" applyBorder="1" applyAlignment="1" applyProtection="1">
      <alignment horizontal="right" vertical="center"/>
    </xf>
    <xf numFmtId="49" fontId="2" fillId="0" borderId="0" xfId="0" applyNumberFormat="1" applyFont="1" applyFill="1" applyBorder="1" applyAlignment="1" applyProtection="1">
      <alignment vertical="center"/>
    </xf>
    <xf numFmtId="177" fontId="2" fillId="0" borderId="1" xfId="0" applyNumberFormat="1" applyFont="1" applyFill="1" applyBorder="1" applyAlignment="1">
      <alignment horizontal="left" vertical="center"/>
    </xf>
    <xf numFmtId="176" fontId="2" fillId="0" borderId="1" xfId="0" applyNumberFormat="1" applyFont="1" applyFill="1" applyBorder="1" applyAlignment="1">
      <alignment horizontal="left" vertical="center"/>
    </xf>
    <xf numFmtId="49" fontId="2" fillId="0" borderId="1" xfId="0" applyNumberFormat="1" applyFont="1" applyFill="1" applyBorder="1" applyAlignment="1">
      <alignment horizontal="left" vertical="center"/>
    </xf>
    <xf numFmtId="0" fontId="2" fillId="0" borderId="1" xfId="0" applyNumberFormat="1" applyFont="1" applyFill="1" applyBorder="1" applyAlignment="1" applyProtection="1">
      <alignment vertical="center"/>
    </xf>
    <xf numFmtId="177" fontId="1" fillId="0" borderId="1" xfId="0" applyNumberFormat="1" applyFont="1" applyFill="1" applyBorder="1" applyAlignment="1" applyProtection="1">
      <alignment vertical="center"/>
    </xf>
    <xf numFmtId="176" fontId="1" fillId="0" borderId="1" xfId="0" applyNumberFormat="1" applyFont="1" applyFill="1" applyBorder="1" applyAlignment="1" applyProtection="1">
      <alignment vertical="center"/>
    </xf>
    <xf numFmtId="49" fontId="1" fillId="3" borderId="1" xfId="0" applyNumberFormat="1" applyFont="1" applyFill="1" applyBorder="1" applyAlignment="1" applyProtection="1">
      <alignment vertical="center"/>
    </xf>
    <xf numFmtId="0" fontId="1" fillId="4" borderId="1" xfId="0" applyNumberFormat="1" applyFont="1" applyFill="1" applyBorder="1" applyAlignment="1" applyProtection="1">
      <alignment vertical="center"/>
    </xf>
    <xf numFmtId="0" fontId="1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2" fillId="0" borderId="1" xfId="0" applyNumberFormat="1" applyFont="1" applyFill="1" applyBorder="1" applyAlignment="1" applyProtection="1">
      <alignment vertical="center" wrapText="1"/>
    </xf>
    <xf numFmtId="49" fontId="2" fillId="0" borderId="1" xfId="0" applyNumberFormat="1" applyFont="1" applyFill="1" applyBorder="1" applyAlignment="1" applyProtection="1">
      <alignment vertical="center"/>
    </xf>
    <xf numFmtId="0" fontId="1" fillId="4" borderId="1" xfId="0" applyNumberFormat="1" applyFont="1" applyFill="1" applyBorder="1" applyAlignment="1" applyProtection="1">
      <alignment vertical="center" wrapText="1"/>
    </xf>
    <xf numFmtId="49" fontId="1" fillId="4" borderId="1" xfId="0" applyNumberFormat="1" applyFont="1" applyFill="1" applyBorder="1" applyAlignment="1" applyProtection="1">
      <alignment vertical="center"/>
    </xf>
    <xf numFmtId="0" fontId="1" fillId="0" borderId="1" xfId="0" applyNumberFormat="1" applyFont="1" applyFill="1" applyBorder="1" applyAlignment="1" applyProtection="1">
      <alignment vertical="center" wrapText="1"/>
    </xf>
    <xf numFmtId="49" fontId="1" fillId="0" borderId="1" xfId="0" applyNumberFormat="1" applyFont="1" applyFill="1" applyBorder="1" applyAlignment="1" applyProtection="1">
      <alignment vertical="center"/>
    </xf>
    <xf numFmtId="49" fontId="1" fillId="3" borderId="1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 applyProtection="1">
      <alignment vertical="center"/>
    </xf>
    <xf numFmtId="0" fontId="1" fillId="0" borderId="2" xfId="0" applyNumberFormat="1" applyFont="1" applyFill="1" applyBorder="1" applyAlignment="1" applyProtection="1">
      <alignment vertical="center"/>
    </xf>
    <xf numFmtId="0" fontId="1" fillId="0" borderId="3" xfId="0" applyNumberFormat="1" applyFont="1" applyFill="1" applyBorder="1" applyAlignment="1" applyProtection="1">
      <alignment vertical="center" wrapText="1"/>
    </xf>
    <xf numFmtId="0" fontId="1" fillId="0" borderId="4" xfId="0" applyNumberFormat="1" applyFont="1" applyFill="1" applyBorder="1" applyAlignment="1" applyProtection="1">
      <alignment vertical="center" wrapText="1"/>
    </xf>
    <xf numFmtId="0" fontId="1" fillId="0" borderId="5" xfId="0" applyNumberFormat="1" applyFont="1" applyFill="1" applyBorder="1" applyAlignment="1" applyProtection="1">
      <alignment vertical="center" wrapText="1"/>
    </xf>
    <xf numFmtId="0" fontId="1" fillId="0" borderId="2" xfId="0" applyNumberFormat="1" applyFont="1" applyFill="1" applyBorder="1" applyAlignment="1" applyProtection="1">
      <alignment vertical="center" wrapText="1"/>
    </xf>
    <xf numFmtId="0" fontId="1" fillId="0" borderId="3" xfId="0" applyNumberFormat="1" applyFont="1" applyFill="1" applyBorder="1" applyAlignment="1" applyProtection="1">
      <alignment vertical="center"/>
    </xf>
    <xf numFmtId="0" fontId="1" fillId="0" borderId="6" xfId="0" applyNumberFormat="1" applyFont="1" applyFill="1" applyBorder="1" applyAlignment="1" applyProtection="1">
      <alignment vertical="center" wrapText="1"/>
    </xf>
    <xf numFmtId="0" fontId="1" fillId="0" borderId="4" xfId="0" applyNumberFormat="1" applyFont="1" applyFill="1" applyBorder="1" applyAlignment="1" applyProtection="1">
      <alignment vertical="center"/>
    </xf>
    <xf numFmtId="0" fontId="1" fillId="0" borderId="7" xfId="0" applyNumberFormat="1" applyFont="1" applyFill="1" applyBorder="1" applyAlignment="1" applyProtection="1">
      <alignment vertical="center" wrapText="1"/>
    </xf>
    <xf numFmtId="0" fontId="1" fillId="0" borderId="5" xfId="0" applyNumberFormat="1" applyFont="1" applyFill="1" applyBorder="1" applyAlignment="1" applyProtection="1">
      <alignment vertical="center"/>
    </xf>
    <xf numFmtId="0" fontId="1" fillId="0" borderId="8" xfId="0" applyNumberFormat="1" applyFont="1" applyFill="1" applyBorder="1" applyAlignment="1" applyProtection="1">
      <alignment vertical="center" wrapText="1"/>
    </xf>
    <xf numFmtId="49" fontId="1" fillId="0" borderId="6" xfId="0" applyNumberFormat="1" applyFont="1" applyFill="1" applyBorder="1" applyAlignment="1" applyProtection="1">
      <alignment vertical="center"/>
    </xf>
    <xf numFmtId="49" fontId="1" fillId="0" borderId="7" xfId="0" applyNumberFormat="1" applyFont="1" applyFill="1" applyBorder="1" applyAlignment="1" applyProtection="1">
      <alignment vertical="center"/>
    </xf>
    <xf numFmtId="49" fontId="1" fillId="0" borderId="8" xfId="0" applyNumberFormat="1" applyFont="1" applyFill="1" applyBorder="1" applyAlignment="1" applyProtection="1">
      <alignment vertical="center"/>
    </xf>
    <xf numFmtId="49" fontId="1" fillId="3" borderId="6" xfId="0" applyNumberFormat="1" applyFont="1" applyFill="1" applyBorder="1" applyAlignment="1" applyProtection="1">
      <alignment vertical="center"/>
    </xf>
    <xf numFmtId="49" fontId="1" fillId="3" borderId="7" xfId="0" applyNumberFormat="1" applyFont="1" applyFill="1" applyBorder="1" applyAlignment="1" applyProtection="1">
      <alignment vertical="center"/>
    </xf>
    <xf numFmtId="49" fontId="1" fillId="3" borderId="8" xfId="0" applyNumberFormat="1" applyFont="1" applyFill="1" applyBorder="1" applyAlignment="1" applyProtection="1">
      <alignment vertical="center"/>
    </xf>
    <xf numFmtId="49" fontId="1" fillId="3" borderId="9" xfId="0" applyNumberFormat="1" applyFont="1" applyFill="1" applyBorder="1" applyAlignment="1" applyProtection="1">
      <alignment vertical="center"/>
    </xf>
    <xf numFmtId="0" fontId="1" fillId="0" borderId="6" xfId="0" applyNumberFormat="1" applyFont="1" applyFill="1" applyBorder="1" applyAlignment="1" applyProtection="1">
      <alignment vertical="center"/>
    </xf>
    <xf numFmtId="0" fontId="1" fillId="0" borderId="7" xfId="0" applyNumberFormat="1" applyFont="1" applyFill="1" applyBorder="1" applyAlignment="1" applyProtection="1">
      <alignment vertical="center"/>
    </xf>
    <xf numFmtId="0" fontId="1" fillId="0" borderId="8" xfId="0" applyNumberFormat="1" applyFont="1" applyFill="1" applyBorder="1" applyAlignment="1" applyProtection="1">
      <alignment vertical="center"/>
    </xf>
    <xf numFmtId="0" fontId="1" fillId="0" borderId="1" xfId="0" applyNumberFormat="1" applyFont="1" applyFill="1" applyBorder="1" applyAlignment="1" applyProtection="1">
      <alignment horizontal="right" vertical="center" wrapText="1"/>
    </xf>
    <xf numFmtId="0" fontId="0" fillId="0" borderId="1" xfId="0" applyNumberFormat="1" applyFont="1" applyFill="1" applyBorder="1" applyAlignment="1" applyProtection="1">
      <alignment vertical="center"/>
    </xf>
    <xf numFmtId="49" fontId="1" fillId="5" borderId="1" xfId="0" applyNumberFormat="1" applyFont="1" applyFill="1" applyBorder="1" applyAlignment="1" applyProtection="1">
      <alignment vertical="center"/>
    </xf>
    <xf numFmtId="0" fontId="1" fillId="5" borderId="1" xfId="0" applyNumberFormat="1" applyFont="1" applyFill="1" applyBorder="1" applyAlignment="1" applyProtection="1">
      <alignment vertical="center"/>
    </xf>
    <xf numFmtId="49" fontId="1" fillId="2" borderId="1" xfId="0" applyNumberFormat="1" applyFont="1" applyFill="1" applyBorder="1" applyAlignment="1" applyProtection="1">
      <alignment vertical="center"/>
    </xf>
    <xf numFmtId="0" fontId="1" fillId="2" borderId="1" xfId="0" applyNumberFormat="1" applyFont="1" applyFill="1" applyBorder="1" applyAlignment="1" applyProtection="1">
      <alignment vertical="center"/>
    </xf>
    <xf numFmtId="0" fontId="1" fillId="2" borderId="10" xfId="0" applyNumberFormat="1" applyFont="1" applyFill="1" applyBorder="1" applyAlignment="1" applyProtection="1">
      <alignment vertical="center"/>
    </xf>
    <xf numFmtId="0" fontId="1" fillId="2" borderId="5" xfId="0" applyNumberFormat="1" applyFont="1" applyFill="1" applyBorder="1" applyAlignment="1" applyProtection="1">
      <alignment vertical="center"/>
    </xf>
    <xf numFmtId="0" fontId="1" fillId="5" borderId="1" xfId="0" applyNumberFormat="1" applyFont="1" applyFill="1" applyBorder="1" applyAlignment="1" applyProtection="1">
      <alignment vertical="center" wrapText="1"/>
    </xf>
    <xf numFmtId="0" fontId="1" fillId="2" borderId="1" xfId="0" applyNumberFormat="1" applyFont="1" applyFill="1" applyBorder="1" applyAlignment="1" applyProtection="1">
      <alignment vertical="center" wrapText="1"/>
    </xf>
    <xf numFmtId="0" fontId="1" fillId="5" borderId="1" xfId="0" applyNumberFormat="1" applyFont="1" applyFill="1" applyBorder="1" applyAlignment="1" applyProtection="1">
      <alignment horizontal="right" vertical="center" wrapText="1"/>
    </xf>
    <xf numFmtId="0" fontId="0" fillId="2" borderId="1" xfId="0" applyNumberFormat="1" applyFont="1" applyFill="1" applyBorder="1" applyAlignment="1" applyProtection="1">
      <alignment vertical="center"/>
    </xf>
    <xf numFmtId="0" fontId="1" fillId="5" borderId="6" xfId="0" applyNumberFormat="1" applyFont="1" applyFill="1" applyBorder="1" applyAlignment="1" applyProtection="1">
      <alignment vertical="center"/>
    </xf>
    <xf numFmtId="0" fontId="1" fillId="5" borderId="7" xfId="0" applyNumberFormat="1" applyFont="1" applyFill="1" applyBorder="1" applyAlignment="1" applyProtection="1">
      <alignment vertical="center"/>
    </xf>
    <xf numFmtId="0" fontId="1" fillId="5" borderId="8" xfId="0" applyNumberFormat="1" applyFont="1" applyFill="1" applyBorder="1" applyAlignment="1" applyProtection="1">
      <alignment vertical="center"/>
    </xf>
    <xf numFmtId="0" fontId="1" fillId="2" borderId="9" xfId="0" applyNumberFormat="1" applyFont="1" applyFill="1" applyBorder="1" applyAlignment="1" applyProtection="1">
      <alignment vertical="center"/>
    </xf>
    <xf numFmtId="0" fontId="1" fillId="2" borderId="2" xfId="0" applyNumberFormat="1" applyFont="1" applyFill="1" applyBorder="1" applyAlignment="1" applyProtection="1">
      <alignment vertical="center"/>
    </xf>
    <xf numFmtId="177" fontId="1" fillId="0" borderId="6" xfId="0" applyNumberFormat="1" applyFont="1" applyFill="1" applyBorder="1" applyAlignment="1" applyProtection="1">
      <alignment vertical="center"/>
    </xf>
    <xf numFmtId="176" fontId="1" fillId="0" borderId="6" xfId="0" applyNumberFormat="1" applyFont="1" applyFill="1" applyBorder="1" applyAlignment="1" applyProtection="1">
      <alignment vertical="center"/>
    </xf>
    <xf numFmtId="177" fontId="1" fillId="0" borderId="7" xfId="0" applyNumberFormat="1" applyFont="1" applyFill="1" applyBorder="1" applyAlignment="1" applyProtection="1">
      <alignment vertical="center"/>
    </xf>
    <xf numFmtId="176" fontId="1" fillId="0" borderId="7" xfId="0" applyNumberFormat="1" applyFont="1" applyFill="1" applyBorder="1" applyAlignment="1" applyProtection="1">
      <alignment vertical="center"/>
    </xf>
    <xf numFmtId="177" fontId="1" fillId="0" borderId="8" xfId="0" applyNumberFormat="1" applyFont="1" applyFill="1" applyBorder="1" applyAlignment="1" applyProtection="1">
      <alignment vertical="center"/>
    </xf>
    <xf numFmtId="176" fontId="1" fillId="0" borderId="8" xfId="0" applyNumberFormat="1" applyFont="1" applyFill="1" applyBorder="1" applyAlignment="1" applyProtection="1">
      <alignment vertical="center"/>
    </xf>
    <xf numFmtId="0" fontId="1" fillId="0" borderId="11" xfId="0" applyNumberFormat="1" applyFont="1" applyFill="1" applyBorder="1" applyAlignment="1" applyProtection="1">
      <alignment vertical="center"/>
    </xf>
    <xf numFmtId="177" fontId="2" fillId="0" borderId="1" xfId="0" applyNumberFormat="1" applyFont="1" applyBorder="1" applyAlignment="1">
      <alignment horizontal="left" vertical="center"/>
    </xf>
    <xf numFmtId="176" fontId="2" fillId="0" borderId="1" xfId="0" applyNumberFormat="1" applyFont="1" applyBorder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/>
    </xf>
    <xf numFmtId="0" fontId="2" fillId="0" borderId="9" xfId="0" applyNumberFormat="1" applyFont="1" applyFill="1" applyBorder="1" applyAlignment="1" applyProtection="1">
      <alignment vertical="center"/>
    </xf>
    <xf numFmtId="0" fontId="1" fillId="0" borderId="9" xfId="0" applyNumberFormat="1" applyFont="1" applyFill="1" applyBorder="1" applyAlignment="1" applyProtection="1">
      <alignment vertical="center"/>
    </xf>
    <xf numFmtId="177" fontId="1" fillId="4" borderId="1" xfId="0" applyNumberFormat="1" applyFont="1" applyFill="1" applyBorder="1" applyAlignment="1" applyProtection="1">
      <alignment vertical="center"/>
    </xf>
    <xf numFmtId="176" fontId="1" fillId="4" borderId="1" xfId="0" applyNumberFormat="1" applyFont="1" applyFill="1" applyBorder="1" applyAlignment="1" applyProtection="1">
      <alignment vertical="center"/>
    </xf>
    <xf numFmtId="49" fontId="3" fillId="4" borderId="9" xfId="0" applyNumberFormat="1" applyFont="1" applyFill="1" applyBorder="1" applyAlignment="1" applyProtection="1">
      <alignment vertical="center"/>
    </xf>
    <xf numFmtId="49" fontId="3" fillId="4" borderId="2" xfId="0" applyNumberFormat="1" applyFont="1" applyFill="1" applyBorder="1" applyAlignment="1" applyProtection="1">
      <alignment vertical="center"/>
    </xf>
    <xf numFmtId="0" fontId="1" fillId="0" borderId="12" xfId="0" applyNumberFormat="1" applyFont="1" applyFill="1" applyBorder="1" applyAlignment="1" applyProtection="1">
      <alignment vertical="center"/>
    </xf>
    <xf numFmtId="0" fontId="1" fillId="0" borderId="10" xfId="0" applyNumberFormat="1" applyFont="1" applyFill="1" applyBorder="1" applyAlignment="1" applyProtection="1">
      <alignment vertical="center"/>
    </xf>
    <xf numFmtId="49" fontId="3" fillId="4" borderId="1" xfId="0" applyNumberFormat="1" applyFont="1" applyFill="1" applyBorder="1" applyAlignment="1" applyProtection="1">
      <alignment vertical="center"/>
    </xf>
    <xf numFmtId="0" fontId="3" fillId="4" borderId="1" xfId="0" applyNumberFormat="1" applyFont="1" applyFill="1" applyBorder="1" applyAlignment="1" applyProtection="1">
      <alignment vertical="center"/>
    </xf>
    <xf numFmtId="0" fontId="0" fillId="0" borderId="6" xfId="0" applyNumberFormat="1" applyFont="1" applyFill="1" applyBorder="1" applyAlignment="1" applyProtection="1">
      <alignment vertical="center"/>
    </xf>
    <xf numFmtId="0" fontId="1" fillId="6" borderId="1" xfId="0" applyNumberFormat="1" applyFont="1" applyFill="1" applyBorder="1" applyAlignment="1" applyProtection="1">
      <alignment vertical="center"/>
    </xf>
    <xf numFmtId="0" fontId="1" fillId="6" borderId="6" xfId="0" applyNumberFormat="1" applyFont="1" applyFill="1" applyBorder="1" applyAlignment="1" applyProtection="1">
      <alignment vertical="center"/>
    </xf>
    <xf numFmtId="0" fontId="1" fillId="6" borderId="7" xfId="0" applyNumberFormat="1" applyFont="1" applyFill="1" applyBorder="1" applyAlignment="1" applyProtection="1">
      <alignment vertical="center"/>
    </xf>
    <xf numFmtId="0" fontId="1" fillId="6" borderId="8" xfId="0" applyNumberFormat="1" applyFont="1" applyFill="1" applyBorder="1" applyAlignment="1" applyProtection="1">
      <alignment vertical="center"/>
    </xf>
    <xf numFmtId="177" fontId="1" fillId="2" borderId="1" xfId="0" applyNumberFormat="1" applyFont="1" applyFill="1" applyBorder="1" applyAlignment="1" applyProtection="1">
      <alignment vertical="center"/>
    </xf>
    <xf numFmtId="176" fontId="1" fillId="2" borderId="1" xfId="0" applyNumberFormat="1" applyFont="1" applyFill="1" applyBorder="1" applyAlignment="1" applyProtection="1">
      <alignment vertical="center"/>
    </xf>
    <xf numFmtId="0" fontId="1" fillId="0" borderId="1" xfId="0" applyNumberFormat="1" applyFont="1" applyFill="1" applyBorder="1" applyAlignment="1" applyProtection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I122"/>
  <sheetViews>
    <sheetView topLeftCell="A46" workbookViewId="0">
      <selection activeCell="I13" sqref="I13"/>
    </sheetView>
  </sheetViews>
  <sheetFormatPr defaultColWidth="9" defaultRowHeight="13.5" customHeight="1"/>
  <cols>
    <col min="1" max="1" width="11.25" style="1" customWidth="1"/>
    <col min="2" max="2" width="7.625" style="2" customWidth="1"/>
    <col min="3" max="6" width="9.625" style="3" customWidth="1"/>
    <col min="7" max="8" width="8.625" style="4" customWidth="1"/>
    <col min="9" max="9" width="20.125" style="4" customWidth="1"/>
    <col min="10" max="10" width="58.875" style="4" customWidth="1"/>
    <col min="11" max="11" width="15.125" style="4" customWidth="1"/>
    <col min="12" max="12" width="9" style="4"/>
    <col min="13" max="13" width="3.625" style="6" customWidth="1"/>
    <col min="14" max="16384" width="9" style="4"/>
  </cols>
  <sheetData>
    <row r="1" customHeight="1" spans="1:14">
      <c r="A1" s="7" t="s">
        <v>0</v>
      </c>
      <c r="N1" s="19" t="s">
        <v>1</v>
      </c>
    </row>
    <row r="2" customHeight="1" spans="1:14">
      <c r="A2" s="73" t="s">
        <v>2</v>
      </c>
      <c r="B2" s="74"/>
      <c r="C2" s="75" t="s">
        <v>3</v>
      </c>
      <c r="D2" s="75"/>
      <c r="E2" s="75"/>
      <c r="F2" s="75"/>
      <c r="G2" s="76" t="s">
        <v>4</v>
      </c>
      <c r="H2" s="27"/>
      <c r="I2" s="13" t="s">
        <v>5</v>
      </c>
      <c r="J2" s="13" t="s">
        <v>6</v>
      </c>
      <c r="K2" s="13" t="s">
        <v>7</v>
      </c>
      <c r="L2" s="13" t="s">
        <v>8</v>
      </c>
      <c r="N2" s="4" t="str">
        <f>TO_HTML_TABLE(A2:L2)</f>
        <v>&lt;tr&gt;&lt;td colspan="2"&gt;Offset&lt;/td&gt;&lt;td colspan="4"&gt;HEX&lt;/td&gt;&lt;td colspan="2"&gt;Type&lt;/td&gt;&lt;td&gt;Name&lt;/td&gt;&lt;td&gt;Description&lt;/td&gt;&lt;td&gt;Bound&lt;/td&gt;&lt;td&gt;ToMax&lt;/td&gt;&lt;/tr&gt;</v>
      </c>
    </row>
    <row r="3" customHeight="1" spans="1:12">
      <c r="A3" s="14" t="str">
        <f>"0x"&amp;DEC2HEX(B3,8)</f>
        <v>0x00000000</v>
      </c>
      <c r="B3" s="15">
        <f>0</f>
        <v>0</v>
      </c>
      <c r="C3" s="16" t="s">
        <v>9</v>
      </c>
      <c r="D3" s="16"/>
      <c r="E3" s="16"/>
      <c r="F3" s="16"/>
      <c r="G3" s="77" t="s">
        <v>10</v>
      </c>
      <c r="H3" s="28"/>
      <c r="I3" s="18" t="s">
        <v>11</v>
      </c>
      <c r="J3" s="18" t="s">
        <v>12</v>
      </c>
      <c r="K3" s="18" t="s">
        <v>13</v>
      </c>
      <c r="L3" s="18"/>
    </row>
    <row r="4" customHeight="1" spans="1:12">
      <c r="A4" s="14" t="str">
        <f>"0x"&amp;DEC2HEX(B4,8)</f>
        <v>0x00000004</v>
      </c>
      <c r="B4" s="15">
        <f>SUM_HEX(C3:F3,B3,3)</f>
        <v>4</v>
      </c>
      <c r="C4" s="16" t="s">
        <v>14</v>
      </c>
      <c r="D4" s="16"/>
      <c r="E4" s="16"/>
      <c r="F4" s="16"/>
      <c r="G4" s="77" t="s">
        <v>15</v>
      </c>
      <c r="H4" s="28"/>
      <c r="I4" s="18" t="s">
        <v>16</v>
      </c>
      <c r="J4" s="18" t="s">
        <v>17</v>
      </c>
      <c r="K4" s="18"/>
      <c r="L4" s="18"/>
    </row>
    <row r="5" customHeight="1" spans="1:12">
      <c r="A5" s="14" t="str">
        <f t="shared" ref="A5:A19" si="0">"0x"&amp;DEC2HEX(B5,8)</f>
        <v>0x00000008</v>
      </c>
      <c r="B5" s="15">
        <f>SUM_HEX(C4:F4,B4,3)</f>
        <v>8</v>
      </c>
      <c r="C5" s="16" t="s">
        <v>18</v>
      </c>
      <c r="D5" s="16"/>
      <c r="E5" s="16"/>
      <c r="F5" s="16"/>
      <c r="G5" s="77" t="s">
        <v>15</v>
      </c>
      <c r="H5" s="28"/>
      <c r="I5" s="18" t="s">
        <v>19</v>
      </c>
      <c r="J5" s="18" t="s">
        <v>20</v>
      </c>
      <c r="K5" s="18" t="s">
        <v>21</v>
      </c>
      <c r="L5" s="18"/>
    </row>
    <row r="6" customHeight="1" spans="1:12">
      <c r="A6" s="14" t="str">
        <f t="shared" si="0"/>
        <v>0x0000000C</v>
      </c>
      <c r="B6" s="15">
        <f>SUM_HEX(C5:F5,B5,3)</f>
        <v>12</v>
      </c>
      <c r="C6" s="26" t="s">
        <v>22</v>
      </c>
      <c r="D6" s="16" t="s">
        <v>22</v>
      </c>
      <c r="E6" s="16" t="s">
        <v>23</v>
      </c>
      <c r="F6" s="16"/>
      <c r="G6" s="18" t="s">
        <v>24</v>
      </c>
      <c r="H6" s="18" t="s">
        <v>25</v>
      </c>
      <c r="I6" s="25" t="s">
        <v>26</v>
      </c>
      <c r="J6" s="18"/>
      <c r="K6" s="18"/>
      <c r="L6" s="18"/>
    </row>
    <row r="8" customHeight="1" spans="1:3">
      <c r="A8" s="7" t="s">
        <v>26</v>
      </c>
      <c r="B8" s="8" t="s">
        <v>27</v>
      </c>
      <c r="C8" s="9" t="s">
        <v>28</v>
      </c>
    </row>
    <row r="9" customHeight="1" spans="1:14">
      <c r="A9" s="73" t="s">
        <v>2</v>
      </c>
      <c r="B9" s="74"/>
      <c r="C9" s="75" t="s">
        <v>3</v>
      </c>
      <c r="D9" s="75"/>
      <c r="E9" s="75"/>
      <c r="F9" s="75"/>
      <c r="G9" s="76" t="s">
        <v>4</v>
      </c>
      <c r="H9" s="27"/>
      <c r="I9" s="13" t="s">
        <v>5</v>
      </c>
      <c r="J9" s="13" t="s">
        <v>6</v>
      </c>
      <c r="K9" s="13" t="s">
        <v>7</v>
      </c>
      <c r="L9" s="13" t="s">
        <v>8</v>
      </c>
      <c r="N9" s="4" t="str">
        <f>TO_HTML_TABLE(A9:L9)</f>
        <v>&lt;tr&gt;&lt;td colspan="2"&gt;Offset&lt;/td&gt;&lt;td colspan="4"&gt;HEX&lt;/td&gt;&lt;td colspan="2"&gt;Type&lt;/td&gt;&lt;td&gt;Name&lt;/td&gt;&lt;td&gt;Description&lt;/td&gt;&lt;td&gt;Bound&lt;/td&gt;&lt;td&gt;ToMax&lt;/td&gt;&lt;/tr&gt;</v>
      </c>
    </row>
    <row r="10" customHeight="1" spans="1:12">
      <c r="A10" s="14" t="str">
        <f t="shared" si="0"/>
        <v>0x00000000</v>
      </c>
      <c r="B10" s="15">
        <f>0</f>
        <v>0</v>
      </c>
      <c r="C10" s="16" t="s">
        <v>22</v>
      </c>
      <c r="D10" s="16" t="s">
        <v>29</v>
      </c>
      <c r="E10" s="16" t="s">
        <v>23</v>
      </c>
      <c r="F10" s="16"/>
      <c r="G10" s="18" t="s">
        <v>24</v>
      </c>
      <c r="H10" s="18" t="s">
        <v>30</v>
      </c>
      <c r="I10" s="25" t="s">
        <v>31</v>
      </c>
      <c r="J10" s="18"/>
      <c r="K10" s="18"/>
      <c r="L10" s="18"/>
    </row>
    <row r="11" customHeight="1" spans="1:12">
      <c r="A11" s="14" t="str">
        <f t="shared" si="0"/>
        <v>0x0000000C</v>
      </c>
      <c r="B11" s="15">
        <f>SUM_HEX(C10:F10,B10,3)</f>
        <v>12</v>
      </c>
      <c r="C11" s="16" t="s">
        <v>32</v>
      </c>
      <c r="D11" s="16"/>
      <c r="E11" s="16"/>
      <c r="F11" s="16"/>
      <c r="G11" s="77" t="s">
        <v>33</v>
      </c>
      <c r="H11" s="28"/>
      <c r="I11" s="18" t="s">
        <v>34</v>
      </c>
      <c r="J11" s="18" t="s">
        <v>35</v>
      </c>
      <c r="K11" s="18"/>
      <c r="L11" s="18"/>
    </row>
    <row r="12" customHeight="1" spans="1:12">
      <c r="A12" s="14" t="str">
        <f t="shared" si="0"/>
        <v>0x00000010</v>
      </c>
      <c r="B12" s="15">
        <f>SUM_HEX(C11:F11,B11,3)</f>
        <v>16</v>
      </c>
      <c r="C12" s="16" t="s">
        <v>22</v>
      </c>
      <c r="D12" s="16" t="s">
        <v>36</v>
      </c>
      <c r="E12" s="16" t="s">
        <v>23</v>
      </c>
      <c r="F12" s="16"/>
      <c r="G12" s="18" t="s">
        <v>24</v>
      </c>
      <c r="H12" s="18" t="s">
        <v>37</v>
      </c>
      <c r="I12" s="25" t="s">
        <v>38</v>
      </c>
      <c r="J12" s="18"/>
      <c r="K12" s="18"/>
      <c r="L12" s="18"/>
    </row>
    <row r="13" customHeight="1" spans="1:12">
      <c r="A13" s="14" t="str">
        <f t="shared" si="0"/>
        <v>0x0000001C</v>
      </c>
      <c r="B13" s="15">
        <f>SUM_HEX(C12:F12,B12,3)</f>
        <v>28</v>
      </c>
      <c r="C13" s="16" t="s">
        <v>22</v>
      </c>
      <c r="D13" s="16" t="s">
        <v>39</v>
      </c>
      <c r="E13" s="16" t="s">
        <v>23</v>
      </c>
      <c r="F13" s="16"/>
      <c r="G13" s="18" t="s">
        <v>24</v>
      </c>
      <c r="H13" s="18" t="s">
        <v>40</v>
      </c>
      <c r="I13" s="25" t="s">
        <v>41</v>
      </c>
      <c r="J13" s="18"/>
      <c r="K13" s="18"/>
      <c r="L13" s="18"/>
    </row>
    <row r="14" customHeight="1" spans="1:12">
      <c r="A14" s="14" t="str">
        <f t="shared" si="0"/>
        <v>0x00000028</v>
      </c>
      <c r="B14" s="15">
        <f>SUM_HEX(C13:F13,B13,3)</f>
        <v>40</v>
      </c>
      <c r="C14" s="16" t="s">
        <v>22</v>
      </c>
      <c r="D14" s="16" t="s">
        <v>42</v>
      </c>
      <c r="E14" s="16" t="s">
        <v>23</v>
      </c>
      <c r="F14" s="16"/>
      <c r="G14" s="18" t="s">
        <v>24</v>
      </c>
      <c r="H14" s="18" t="s">
        <v>43</v>
      </c>
      <c r="I14" s="25" t="s">
        <v>44</v>
      </c>
      <c r="J14" s="18"/>
      <c r="K14" s="18"/>
      <c r="L14" s="18"/>
    </row>
    <row r="15" customHeight="1" spans="1:12">
      <c r="A15" s="78" t="str">
        <f t="shared" si="0"/>
        <v>0x00000034</v>
      </c>
      <c r="B15" s="79">
        <f>SUM_HEX(C14:F14,B14,3)</f>
        <v>52</v>
      </c>
      <c r="C15" s="23" t="s">
        <v>23</v>
      </c>
      <c r="D15" s="23" t="s">
        <v>23</v>
      </c>
      <c r="E15" s="23" t="s">
        <v>23</v>
      </c>
      <c r="F15" s="23" t="s">
        <v>23</v>
      </c>
      <c r="G15" s="80"/>
      <c r="H15" s="81"/>
      <c r="I15" s="84"/>
      <c r="J15" s="85"/>
      <c r="K15" s="85"/>
      <c r="L15" s="85"/>
    </row>
    <row r="16" customHeight="1" spans="1:12">
      <c r="A16" s="14" t="str">
        <f t="shared" si="0"/>
        <v>0x00000044</v>
      </c>
      <c r="B16" s="15">
        <f>SUM_HEX(C15:F15,B15,3)</f>
        <v>68</v>
      </c>
      <c r="C16" s="16" t="s">
        <v>22</v>
      </c>
      <c r="D16" s="16" t="s">
        <v>45</v>
      </c>
      <c r="E16" s="16" t="s">
        <v>23</v>
      </c>
      <c r="F16" s="16"/>
      <c r="G16" s="18" t="s">
        <v>24</v>
      </c>
      <c r="H16" s="18" t="s">
        <v>46</v>
      </c>
      <c r="I16" s="25" t="s">
        <v>47</v>
      </c>
      <c r="J16" s="18"/>
      <c r="K16" s="18"/>
      <c r="L16" s="18"/>
    </row>
    <row r="17" customHeight="1" spans="1:12">
      <c r="A17" s="14" t="str">
        <f t="shared" si="0"/>
        <v>0x00000050</v>
      </c>
      <c r="B17" s="15">
        <f>SUM_HEX(C16:F16,B16,3)</f>
        <v>80</v>
      </c>
      <c r="C17" s="16" t="s">
        <v>22</v>
      </c>
      <c r="D17" s="16" t="s">
        <v>48</v>
      </c>
      <c r="E17" s="16" t="s">
        <v>23</v>
      </c>
      <c r="F17" s="16"/>
      <c r="G17" s="18" t="s">
        <v>24</v>
      </c>
      <c r="H17" s="18" t="s">
        <v>49</v>
      </c>
      <c r="I17" s="25" t="s">
        <v>50</v>
      </c>
      <c r="J17" s="18"/>
      <c r="K17" s="18"/>
      <c r="L17" s="18"/>
    </row>
    <row r="18" customHeight="1" spans="1:12">
      <c r="A18" s="14" t="str">
        <f t="shared" si="0"/>
        <v>0x0000005C</v>
      </c>
      <c r="B18" s="15">
        <f>SUM_HEX(C17:F17,B17,3)</f>
        <v>92</v>
      </c>
      <c r="C18" s="16" t="s">
        <v>22</v>
      </c>
      <c r="D18" s="16"/>
      <c r="E18" s="16"/>
      <c r="F18" s="16"/>
      <c r="G18" s="77" t="s">
        <v>15</v>
      </c>
      <c r="H18" s="28"/>
      <c r="I18" s="18" t="s">
        <v>51</v>
      </c>
      <c r="J18" s="18" t="s">
        <v>52</v>
      </c>
      <c r="K18" s="18" t="s">
        <v>21</v>
      </c>
      <c r="L18" s="18"/>
    </row>
    <row r="19" customHeight="1" spans="1:12">
      <c r="A19" s="66" t="str">
        <f t="shared" si="0"/>
        <v>0x00000060</v>
      </c>
      <c r="B19" s="67">
        <f>SUM_HEX(C18:F18,B18,3)</f>
        <v>96</v>
      </c>
      <c r="C19" s="42" t="s">
        <v>53</v>
      </c>
      <c r="D19" s="42"/>
      <c r="E19" s="42"/>
      <c r="F19" s="42"/>
      <c r="G19" s="46" t="s">
        <v>33</v>
      </c>
      <c r="H19" s="18" t="s">
        <v>54</v>
      </c>
      <c r="I19" s="46" t="s">
        <v>55</v>
      </c>
      <c r="J19" s="46" t="s">
        <v>56</v>
      </c>
      <c r="K19" s="46"/>
      <c r="L19" s="46"/>
    </row>
    <row r="20" customHeight="1" spans="1:12">
      <c r="A20" s="68"/>
      <c r="B20" s="69"/>
      <c r="C20" s="43"/>
      <c r="D20" s="43"/>
      <c r="E20" s="43"/>
      <c r="F20" s="43"/>
      <c r="G20" s="47"/>
      <c r="H20" s="18" t="s">
        <v>57</v>
      </c>
      <c r="I20" s="47"/>
      <c r="J20" s="47"/>
      <c r="K20" s="47"/>
      <c r="L20" s="47"/>
    </row>
    <row r="21" customHeight="1" spans="1:12">
      <c r="A21" s="68"/>
      <c r="B21" s="69"/>
      <c r="C21" s="43"/>
      <c r="D21" s="43"/>
      <c r="E21" s="43"/>
      <c r="F21" s="43"/>
      <c r="G21" s="47"/>
      <c r="H21" s="18" t="s">
        <v>58</v>
      </c>
      <c r="I21" s="47"/>
      <c r="J21" s="47"/>
      <c r="K21" s="47"/>
      <c r="L21" s="47"/>
    </row>
    <row r="22" customHeight="1" spans="1:12">
      <c r="A22" s="68"/>
      <c r="B22" s="69"/>
      <c r="C22" s="43"/>
      <c r="D22" s="43"/>
      <c r="E22" s="43"/>
      <c r="F22" s="43"/>
      <c r="G22" s="47"/>
      <c r="H22" s="18" t="s">
        <v>59</v>
      </c>
      <c r="I22" s="47"/>
      <c r="J22" s="47"/>
      <c r="K22" s="47"/>
      <c r="L22" s="47"/>
    </row>
    <row r="23" customHeight="1" spans="1:12">
      <c r="A23" s="68"/>
      <c r="B23" s="69"/>
      <c r="C23" s="43"/>
      <c r="D23" s="43"/>
      <c r="E23" s="43"/>
      <c r="F23" s="43"/>
      <c r="G23" s="47"/>
      <c r="H23" s="18" t="s">
        <v>60</v>
      </c>
      <c r="I23" s="47"/>
      <c r="J23" s="47"/>
      <c r="K23" s="47"/>
      <c r="L23" s="47"/>
    </row>
    <row r="24" customHeight="1" spans="1:12">
      <c r="A24" s="68"/>
      <c r="B24" s="69"/>
      <c r="C24" s="43"/>
      <c r="D24" s="43"/>
      <c r="E24" s="43"/>
      <c r="F24" s="43"/>
      <c r="G24" s="47"/>
      <c r="H24" s="18" t="s">
        <v>61</v>
      </c>
      <c r="I24" s="47"/>
      <c r="J24" s="47"/>
      <c r="K24" s="47"/>
      <c r="L24" s="47"/>
    </row>
    <row r="25" customHeight="1" spans="1:12">
      <c r="A25" s="68"/>
      <c r="B25" s="69"/>
      <c r="C25" s="43"/>
      <c r="D25" s="43"/>
      <c r="E25" s="43"/>
      <c r="F25" s="43"/>
      <c r="G25" s="47"/>
      <c r="H25" s="18" t="s">
        <v>62</v>
      </c>
      <c r="I25" s="47"/>
      <c r="J25" s="47"/>
      <c r="K25" s="47"/>
      <c r="L25" s="47"/>
    </row>
    <row r="26" customHeight="1" spans="1:12">
      <c r="A26" s="68"/>
      <c r="B26" s="69"/>
      <c r="C26" s="43"/>
      <c r="D26" s="43"/>
      <c r="E26" s="43"/>
      <c r="F26" s="43"/>
      <c r="G26" s="47"/>
      <c r="H26" s="18" t="s">
        <v>63</v>
      </c>
      <c r="I26" s="47"/>
      <c r="J26" s="47"/>
      <c r="K26" s="47"/>
      <c r="L26" s="47"/>
    </row>
    <row r="27" customHeight="1" spans="1:12">
      <c r="A27" s="68"/>
      <c r="B27" s="69"/>
      <c r="C27" s="43"/>
      <c r="D27" s="43"/>
      <c r="E27" s="43"/>
      <c r="F27" s="43"/>
      <c r="G27" s="47"/>
      <c r="H27" s="18" t="s">
        <v>64</v>
      </c>
      <c r="I27" s="47"/>
      <c r="J27" s="47"/>
      <c r="K27" s="47"/>
      <c r="L27" s="47"/>
    </row>
    <row r="28" customHeight="1" spans="1:12">
      <c r="A28" s="68"/>
      <c r="B28" s="69"/>
      <c r="C28" s="43"/>
      <c r="D28" s="43"/>
      <c r="E28" s="43"/>
      <c r="F28" s="43"/>
      <c r="G28" s="47"/>
      <c r="H28" s="18" t="s">
        <v>65</v>
      </c>
      <c r="I28" s="47"/>
      <c r="J28" s="47"/>
      <c r="K28" s="47"/>
      <c r="L28" s="47"/>
    </row>
    <row r="29" customHeight="1" spans="1:12">
      <c r="A29" s="68"/>
      <c r="B29" s="69"/>
      <c r="C29" s="43"/>
      <c r="D29" s="43"/>
      <c r="E29" s="43"/>
      <c r="F29" s="43"/>
      <c r="G29" s="47"/>
      <c r="H29" s="18" t="s">
        <v>66</v>
      </c>
      <c r="I29" s="47"/>
      <c r="J29" s="47"/>
      <c r="K29" s="47"/>
      <c r="L29" s="47"/>
    </row>
    <row r="30" customHeight="1" spans="1:12">
      <c r="A30" s="68"/>
      <c r="B30" s="69"/>
      <c r="C30" s="43"/>
      <c r="D30" s="43"/>
      <c r="E30" s="43"/>
      <c r="F30" s="43"/>
      <c r="G30" s="47"/>
      <c r="H30" s="18" t="s">
        <v>67</v>
      </c>
      <c r="I30" s="47"/>
      <c r="J30" s="47"/>
      <c r="K30" s="47"/>
      <c r="L30" s="47"/>
    </row>
    <row r="31" customHeight="1" spans="1:12">
      <c r="A31" s="68"/>
      <c r="B31" s="69"/>
      <c r="C31" s="43"/>
      <c r="D31" s="43"/>
      <c r="E31" s="43"/>
      <c r="F31" s="43"/>
      <c r="G31" s="47"/>
      <c r="H31" s="18" t="s">
        <v>68</v>
      </c>
      <c r="I31" s="47"/>
      <c r="J31" s="47"/>
      <c r="K31" s="47"/>
      <c r="L31" s="47"/>
    </row>
    <row r="32" customHeight="1" spans="1:12">
      <c r="A32" s="68"/>
      <c r="B32" s="69"/>
      <c r="C32" s="43"/>
      <c r="D32" s="43"/>
      <c r="E32" s="43"/>
      <c r="F32" s="43"/>
      <c r="G32" s="47"/>
      <c r="H32" s="18" t="s">
        <v>69</v>
      </c>
      <c r="I32" s="47"/>
      <c r="J32" s="47"/>
      <c r="K32" s="47"/>
      <c r="L32" s="47"/>
    </row>
    <row r="33" customHeight="1" spans="1:12">
      <c r="A33" s="68"/>
      <c r="B33" s="69"/>
      <c r="C33" s="43"/>
      <c r="D33" s="43"/>
      <c r="E33" s="43"/>
      <c r="F33" s="43"/>
      <c r="G33" s="47"/>
      <c r="H33" s="18" t="s">
        <v>70</v>
      </c>
      <c r="I33" s="47"/>
      <c r="J33" s="47"/>
      <c r="K33" s="47"/>
      <c r="L33" s="47"/>
    </row>
    <row r="34" customHeight="1" spans="1:12">
      <c r="A34" s="68"/>
      <c r="B34" s="69"/>
      <c r="C34" s="43"/>
      <c r="D34" s="43"/>
      <c r="E34" s="43"/>
      <c r="F34" s="43"/>
      <c r="G34" s="47"/>
      <c r="H34" s="18" t="s">
        <v>71</v>
      </c>
      <c r="I34" s="47"/>
      <c r="J34" s="47"/>
      <c r="K34" s="47"/>
      <c r="L34" s="47"/>
    </row>
    <row r="35" customHeight="1" spans="1:12">
      <c r="A35" s="68"/>
      <c r="B35" s="69"/>
      <c r="C35" s="43"/>
      <c r="D35" s="43"/>
      <c r="E35" s="43"/>
      <c r="F35" s="43"/>
      <c r="G35" s="47"/>
      <c r="H35" s="18" t="s">
        <v>72</v>
      </c>
      <c r="I35" s="47"/>
      <c r="J35" s="47"/>
      <c r="K35" s="47"/>
      <c r="L35" s="47"/>
    </row>
    <row r="36" customHeight="1" spans="1:12">
      <c r="A36" s="68"/>
      <c r="B36" s="69"/>
      <c r="C36" s="43"/>
      <c r="D36" s="43"/>
      <c r="E36" s="43"/>
      <c r="F36" s="43"/>
      <c r="G36" s="47"/>
      <c r="H36" s="18" t="s">
        <v>73</v>
      </c>
      <c r="I36" s="47"/>
      <c r="J36" s="47"/>
      <c r="K36" s="47"/>
      <c r="L36" s="47"/>
    </row>
    <row r="37" customHeight="1" spans="1:12">
      <c r="A37" s="68"/>
      <c r="B37" s="69"/>
      <c r="C37" s="43"/>
      <c r="D37" s="43"/>
      <c r="E37" s="43"/>
      <c r="F37" s="43"/>
      <c r="G37" s="47"/>
      <c r="H37" s="18" t="s">
        <v>74</v>
      </c>
      <c r="I37" s="47"/>
      <c r="J37" s="47"/>
      <c r="K37" s="47"/>
      <c r="L37" s="47"/>
    </row>
    <row r="38" customHeight="1" spans="1:12">
      <c r="A38" s="68"/>
      <c r="B38" s="69"/>
      <c r="C38" s="43"/>
      <c r="D38" s="43"/>
      <c r="E38" s="43"/>
      <c r="F38" s="43"/>
      <c r="G38" s="47"/>
      <c r="H38" s="18" t="s">
        <v>75</v>
      </c>
      <c r="I38" s="47"/>
      <c r="J38" s="47"/>
      <c r="K38" s="47"/>
      <c r="L38" s="47"/>
    </row>
    <row r="39" customHeight="1" spans="1:12">
      <c r="A39" s="68"/>
      <c r="B39" s="69"/>
      <c r="C39" s="43"/>
      <c r="D39" s="43"/>
      <c r="E39" s="43"/>
      <c r="F39" s="43"/>
      <c r="G39" s="47"/>
      <c r="H39" s="18" t="s">
        <v>76</v>
      </c>
      <c r="I39" s="47"/>
      <c r="J39" s="47"/>
      <c r="K39" s="47"/>
      <c r="L39" s="47"/>
    </row>
    <row r="40" customHeight="1" spans="1:12">
      <c r="A40" s="68"/>
      <c r="B40" s="69"/>
      <c r="C40" s="43"/>
      <c r="D40" s="43"/>
      <c r="E40" s="43"/>
      <c r="F40" s="43"/>
      <c r="G40" s="47"/>
      <c r="H40" s="18" t="s">
        <v>77</v>
      </c>
      <c r="I40" s="47"/>
      <c r="J40" s="47"/>
      <c r="K40" s="47"/>
      <c r="L40" s="47"/>
    </row>
    <row r="41" customHeight="1" spans="1:12">
      <c r="A41" s="68"/>
      <c r="B41" s="69"/>
      <c r="C41" s="43"/>
      <c r="D41" s="43"/>
      <c r="E41" s="43"/>
      <c r="F41" s="43"/>
      <c r="G41" s="47"/>
      <c r="H41" s="18" t="s">
        <v>78</v>
      </c>
      <c r="I41" s="47"/>
      <c r="J41" s="47"/>
      <c r="K41" s="47"/>
      <c r="L41" s="47"/>
    </row>
    <row r="42" customHeight="1" spans="1:12">
      <c r="A42" s="68"/>
      <c r="B42" s="69"/>
      <c r="C42" s="43"/>
      <c r="D42" s="43"/>
      <c r="E42" s="43"/>
      <c r="F42" s="43"/>
      <c r="G42" s="47"/>
      <c r="H42" s="18" t="s">
        <v>79</v>
      </c>
      <c r="I42" s="47"/>
      <c r="J42" s="47"/>
      <c r="K42" s="47"/>
      <c r="L42" s="47"/>
    </row>
    <row r="43" customHeight="1" spans="1:12">
      <c r="A43" s="68"/>
      <c r="B43" s="69"/>
      <c r="C43" s="43"/>
      <c r="D43" s="43"/>
      <c r="E43" s="43"/>
      <c r="F43" s="43"/>
      <c r="G43" s="47"/>
      <c r="H43" s="18" t="s">
        <v>80</v>
      </c>
      <c r="I43" s="47"/>
      <c r="J43" s="47"/>
      <c r="K43" s="47"/>
      <c r="L43" s="47"/>
    </row>
    <row r="44" customHeight="1" spans="1:12">
      <c r="A44" s="68"/>
      <c r="B44" s="69"/>
      <c r="C44" s="43"/>
      <c r="D44" s="43"/>
      <c r="E44" s="43"/>
      <c r="F44" s="43"/>
      <c r="G44" s="47"/>
      <c r="H44" s="18" t="s">
        <v>81</v>
      </c>
      <c r="I44" s="47"/>
      <c r="J44" s="47"/>
      <c r="K44" s="47"/>
      <c r="L44" s="47"/>
    </row>
    <row r="45" customHeight="1" spans="1:12">
      <c r="A45" s="68"/>
      <c r="B45" s="69"/>
      <c r="C45" s="43"/>
      <c r="D45" s="43"/>
      <c r="E45" s="43"/>
      <c r="F45" s="43"/>
      <c r="G45" s="47"/>
      <c r="H45" s="18" t="s">
        <v>82</v>
      </c>
      <c r="I45" s="47"/>
      <c r="J45" s="47"/>
      <c r="K45" s="47"/>
      <c r="L45" s="47"/>
    </row>
    <row r="46" customHeight="1" spans="1:12">
      <c r="A46" s="68"/>
      <c r="B46" s="69"/>
      <c r="C46" s="43"/>
      <c r="D46" s="43"/>
      <c r="E46" s="43"/>
      <c r="F46" s="43"/>
      <c r="G46" s="47"/>
      <c r="H46" s="18" t="s">
        <v>83</v>
      </c>
      <c r="I46" s="47"/>
      <c r="J46" s="47"/>
      <c r="K46" s="47"/>
      <c r="L46" s="47"/>
    </row>
    <row r="47" customHeight="1" spans="1:12">
      <c r="A47" s="68"/>
      <c r="B47" s="69"/>
      <c r="C47" s="43"/>
      <c r="D47" s="43"/>
      <c r="E47" s="43"/>
      <c r="F47" s="43"/>
      <c r="G47" s="47"/>
      <c r="H47" s="18" t="s">
        <v>84</v>
      </c>
      <c r="I47" s="47"/>
      <c r="J47" s="47"/>
      <c r="K47" s="47"/>
      <c r="L47" s="47"/>
    </row>
    <row r="48" customHeight="1" spans="1:12">
      <c r="A48" s="68"/>
      <c r="B48" s="69"/>
      <c r="C48" s="43"/>
      <c r="D48" s="43"/>
      <c r="E48" s="43"/>
      <c r="F48" s="43"/>
      <c r="G48" s="47"/>
      <c r="H48" s="18" t="s">
        <v>85</v>
      </c>
      <c r="I48" s="47"/>
      <c r="J48" s="47"/>
      <c r="K48" s="47"/>
      <c r="L48" s="47"/>
    </row>
    <row r="49" customHeight="1" spans="1:12">
      <c r="A49" s="68"/>
      <c r="B49" s="69"/>
      <c r="C49" s="43"/>
      <c r="D49" s="43"/>
      <c r="E49" s="43"/>
      <c r="F49" s="43"/>
      <c r="G49" s="47"/>
      <c r="H49" s="18" t="s">
        <v>86</v>
      </c>
      <c r="I49" s="47"/>
      <c r="J49" s="47"/>
      <c r="K49" s="47"/>
      <c r="L49" s="47"/>
    </row>
    <row r="50" customHeight="1" spans="1:12">
      <c r="A50" s="70"/>
      <c r="B50" s="71"/>
      <c r="C50" s="44"/>
      <c r="D50" s="44"/>
      <c r="E50" s="44"/>
      <c r="F50" s="44"/>
      <c r="G50" s="48"/>
      <c r="H50" s="18" t="s">
        <v>87</v>
      </c>
      <c r="I50" s="48"/>
      <c r="J50" s="48"/>
      <c r="K50" s="48"/>
      <c r="L50" s="48"/>
    </row>
    <row r="51" customHeight="1" spans="1:12">
      <c r="A51" s="14" t="str">
        <f t="shared" ref="A51:A68" si="1">"0x"&amp;DEC2HEX(B51,8)</f>
        <v>0x00000064</v>
      </c>
      <c r="B51" s="15">
        <f>SUM_HEX(C19:F19,B19,3)</f>
        <v>100</v>
      </c>
      <c r="C51" s="16" t="s">
        <v>88</v>
      </c>
      <c r="D51" s="16" t="s">
        <v>89</v>
      </c>
      <c r="E51" s="16" t="s">
        <v>23</v>
      </c>
      <c r="F51" s="16"/>
      <c r="G51" s="18" t="s">
        <v>24</v>
      </c>
      <c r="H51" s="18" t="s">
        <v>90</v>
      </c>
      <c r="I51" s="18" t="s">
        <v>91</v>
      </c>
      <c r="J51" s="18"/>
      <c r="K51" s="18"/>
      <c r="L51" s="18"/>
    </row>
    <row r="52" customHeight="1" spans="1:12">
      <c r="A52" s="14" t="str">
        <f t="shared" si="1"/>
        <v>0x00000070</v>
      </c>
      <c r="B52" s="15">
        <f>SUM_HEX(C51:F51,B51,3)</f>
        <v>112</v>
      </c>
      <c r="C52" s="16" t="s">
        <v>22</v>
      </c>
      <c r="D52" s="16" t="s">
        <v>92</v>
      </c>
      <c r="E52" s="16" t="s">
        <v>23</v>
      </c>
      <c r="F52" s="16"/>
      <c r="G52" s="18" t="s">
        <v>24</v>
      </c>
      <c r="H52" s="18" t="s">
        <v>93</v>
      </c>
      <c r="I52" s="18" t="s">
        <v>94</v>
      </c>
      <c r="J52" s="18"/>
      <c r="K52" s="18"/>
      <c r="L52" s="18"/>
    </row>
    <row r="53" customHeight="1" spans="1:12">
      <c r="A53" s="14" t="str">
        <f t="shared" si="1"/>
        <v>0x0000007C</v>
      </c>
      <c r="B53" s="15">
        <f>SUM_HEX(C52:F52,B52,3)</f>
        <v>124</v>
      </c>
      <c r="C53" s="16" t="s">
        <v>22</v>
      </c>
      <c r="D53" s="16" t="s">
        <v>95</v>
      </c>
      <c r="E53" s="16" t="s">
        <v>23</v>
      </c>
      <c r="F53" s="16"/>
      <c r="G53" s="18" t="s">
        <v>24</v>
      </c>
      <c r="H53" s="18" t="s">
        <v>96</v>
      </c>
      <c r="I53" s="18" t="s">
        <v>97</v>
      </c>
      <c r="J53" s="18"/>
      <c r="K53" s="18"/>
      <c r="L53" s="18"/>
    </row>
    <row r="54" customHeight="1" spans="1:12">
      <c r="A54" s="14" t="str">
        <f t="shared" si="1"/>
        <v>0x00000088</v>
      </c>
      <c r="B54" s="15">
        <f>SUM_HEX(C53:F53,B53,3)</f>
        <v>136</v>
      </c>
      <c r="C54" s="16" t="s">
        <v>98</v>
      </c>
      <c r="D54" s="16" t="s">
        <v>98</v>
      </c>
      <c r="E54" s="16" t="s">
        <v>23</v>
      </c>
      <c r="F54" s="16"/>
      <c r="G54" s="72" t="s">
        <v>99</v>
      </c>
      <c r="H54" s="33"/>
      <c r="I54" s="39" t="s">
        <v>100</v>
      </c>
      <c r="J54" s="86" t="s">
        <v>101</v>
      </c>
      <c r="K54" s="46"/>
      <c r="L54" s="46"/>
    </row>
    <row r="55" customHeight="1" spans="1:12">
      <c r="A55" s="14" t="str">
        <f t="shared" si="1"/>
        <v>0x00000094</v>
      </c>
      <c r="B55" s="15">
        <f>SUM_HEX(C54:F54,B54,3)</f>
        <v>148</v>
      </c>
      <c r="C55" s="16" t="s">
        <v>102</v>
      </c>
      <c r="D55" s="16" t="s">
        <v>102</v>
      </c>
      <c r="E55" s="16" t="s">
        <v>103</v>
      </c>
      <c r="F55" s="16"/>
      <c r="G55" s="82"/>
      <c r="H55" s="35"/>
      <c r="I55" s="40"/>
      <c r="J55" s="47"/>
      <c r="K55" s="47"/>
      <c r="L55" s="47"/>
    </row>
    <row r="56" customHeight="1" spans="1:12">
      <c r="A56" s="14" t="str">
        <f t="shared" si="1"/>
        <v>0x000000A0</v>
      </c>
      <c r="B56" s="15">
        <f>SUM_HEX(C55:F55,B55,3)</f>
        <v>160</v>
      </c>
      <c r="C56" s="16" t="s">
        <v>104</v>
      </c>
      <c r="D56" s="16"/>
      <c r="E56" s="16"/>
      <c r="F56" s="16"/>
      <c r="G56" s="82"/>
      <c r="H56" s="35"/>
      <c r="I56" s="40"/>
      <c r="J56" s="47"/>
      <c r="K56" s="47"/>
      <c r="L56" s="47"/>
    </row>
    <row r="57" customHeight="1" spans="1:12">
      <c r="A57" s="14" t="str">
        <f t="shared" si="1"/>
        <v>0x000000A4</v>
      </c>
      <c r="B57" s="15">
        <f>SUM_HEX(C56:F56,B56,3)</f>
        <v>164</v>
      </c>
      <c r="C57" s="16" t="s">
        <v>23</v>
      </c>
      <c r="D57" s="16"/>
      <c r="E57" s="16"/>
      <c r="F57" s="16"/>
      <c r="G57" s="83"/>
      <c r="H57" s="37"/>
      <c r="I57" s="41"/>
      <c r="J57" s="48"/>
      <c r="K57" s="48"/>
      <c r="L57" s="48"/>
    </row>
    <row r="58" customHeight="1" spans="1:12">
      <c r="A58" s="14" t="str">
        <f t="shared" si="1"/>
        <v>0x000000A8</v>
      </c>
      <c r="B58" s="15">
        <f>SUM_HEX(C57:F57,B57,3)</f>
        <v>168</v>
      </c>
      <c r="C58" s="16" t="s">
        <v>23</v>
      </c>
      <c r="D58" s="16" t="s">
        <v>23</v>
      </c>
      <c r="E58" s="16" t="s">
        <v>23</v>
      </c>
      <c r="F58" s="16"/>
      <c r="G58" s="77"/>
      <c r="H58" s="28"/>
      <c r="I58" s="18"/>
      <c r="J58" s="18"/>
      <c r="K58" s="18"/>
      <c r="L58" s="18"/>
    </row>
    <row r="59" customHeight="1" spans="1:12">
      <c r="A59" s="14" t="str">
        <f t="shared" si="1"/>
        <v>0x000000B4</v>
      </c>
      <c r="B59" s="15">
        <f>SUM_HEX(C58:F58,B58,3)</f>
        <v>180</v>
      </c>
      <c r="C59" s="16" t="s">
        <v>23</v>
      </c>
      <c r="D59" s="16" t="s">
        <v>23</v>
      </c>
      <c r="E59" s="16" t="s">
        <v>23</v>
      </c>
      <c r="F59" s="16"/>
      <c r="G59" s="77"/>
      <c r="H59" s="28"/>
      <c r="I59" s="18"/>
      <c r="J59" s="18"/>
      <c r="K59" s="18"/>
      <c r="L59" s="18"/>
    </row>
    <row r="60" customHeight="1" spans="1:12">
      <c r="A60" s="14" t="str">
        <f t="shared" si="1"/>
        <v>0x000000C0</v>
      </c>
      <c r="B60" s="15">
        <f>SUM_HEX(C59:F59,B59,3)</f>
        <v>192</v>
      </c>
      <c r="C60" s="16" t="s">
        <v>23</v>
      </c>
      <c r="D60" s="16" t="s">
        <v>23</v>
      </c>
      <c r="E60" s="16" t="s">
        <v>23</v>
      </c>
      <c r="F60" s="16"/>
      <c r="G60" s="77"/>
      <c r="H60" s="28"/>
      <c r="I60" s="18"/>
      <c r="J60" s="18"/>
      <c r="K60" s="18"/>
      <c r="L60" s="18"/>
    </row>
    <row r="61" customHeight="1" spans="1:12">
      <c r="A61" s="14" t="str">
        <f t="shared" si="1"/>
        <v>0x000000CC</v>
      </c>
      <c r="B61" s="15">
        <f>SUM_HEX(C60:F60,B60,3)</f>
        <v>204</v>
      </c>
      <c r="C61" s="16" t="s">
        <v>23</v>
      </c>
      <c r="D61" s="16" t="s">
        <v>23</v>
      </c>
      <c r="E61" s="16" t="s">
        <v>23</v>
      </c>
      <c r="F61" s="16"/>
      <c r="G61" s="77"/>
      <c r="H61" s="28"/>
      <c r="I61" s="18"/>
      <c r="J61" s="18"/>
      <c r="K61" s="18"/>
      <c r="L61" s="18"/>
    </row>
    <row r="62" customHeight="1" spans="1:12">
      <c r="A62" s="14" t="str">
        <f t="shared" si="1"/>
        <v>0x000000D8</v>
      </c>
      <c r="B62" s="15">
        <f>SUM_HEX(C61:F61,B61,3)</f>
        <v>216</v>
      </c>
      <c r="C62" s="16" t="s">
        <v>23</v>
      </c>
      <c r="D62" s="16" t="s">
        <v>23</v>
      </c>
      <c r="E62" s="16" t="s">
        <v>23</v>
      </c>
      <c r="F62" s="16"/>
      <c r="G62" s="77"/>
      <c r="H62" s="28"/>
      <c r="I62" s="18"/>
      <c r="J62" s="18"/>
      <c r="K62" s="18"/>
      <c r="L62" s="18"/>
    </row>
    <row r="63" customHeight="1" spans="1:12">
      <c r="A63" s="14" t="str">
        <f t="shared" si="1"/>
        <v>0x000000E4</v>
      </c>
      <c r="B63" s="15">
        <f>SUM_HEX(C62:F62,B62,3)</f>
        <v>228</v>
      </c>
      <c r="C63" s="16" t="s">
        <v>23</v>
      </c>
      <c r="D63" s="16" t="s">
        <v>23</v>
      </c>
      <c r="E63" s="16" t="s">
        <v>23</v>
      </c>
      <c r="F63" s="16"/>
      <c r="G63" s="18" t="s">
        <v>24</v>
      </c>
      <c r="H63" s="18" t="s">
        <v>105</v>
      </c>
      <c r="I63" s="18" t="s">
        <v>106</v>
      </c>
      <c r="J63" s="18"/>
      <c r="K63" s="18"/>
      <c r="L63" s="18"/>
    </row>
    <row r="64" customHeight="1" spans="1:12">
      <c r="A64" s="14" t="str">
        <f t="shared" si="1"/>
        <v>0x000000F0</v>
      </c>
      <c r="B64" s="15">
        <f>SUM_HEX(C63:F63,B63,3)</f>
        <v>240</v>
      </c>
      <c r="C64" s="16" t="s">
        <v>23</v>
      </c>
      <c r="D64" s="16" t="s">
        <v>23</v>
      </c>
      <c r="E64" s="16" t="s">
        <v>23</v>
      </c>
      <c r="F64" s="16"/>
      <c r="G64" s="18" t="s">
        <v>24</v>
      </c>
      <c r="H64" s="18" t="s">
        <v>96</v>
      </c>
      <c r="I64" s="18" t="s">
        <v>107</v>
      </c>
      <c r="J64" s="18"/>
      <c r="K64" s="18"/>
      <c r="L64" s="18"/>
    </row>
    <row r="65" customHeight="1" spans="1:12">
      <c r="A65" s="14" t="str">
        <f t="shared" si="1"/>
        <v>0x000000FC</v>
      </c>
      <c r="B65" s="15">
        <f>SUM_HEX(C64:F64,B64,3)</f>
        <v>252</v>
      </c>
      <c r="C65" s="16" t="s">
        <v>23</v>
      </c>
      <c r="D65" s="16" t="s">
        <v>23</v>
      </c>
      <c r="E65" s="16" t="s">
        <v>23</v>
      </c>
      <c r="F65" s="16"/>
      <c r="G65" s="18" t="s">
        <v>24</v>
      </c>
      <c r="H65" s="18" t="s">
        <v>108</v>
      </c>
      <c r="I65" s="18" t="s">
        <v>109</v>
      </c>
      <c r="J65" s="18"/>
      <c r="K65" s="18"/>
      <c r="L65" s="18"/>
    </row>
    <row r="66" customHeight="1" spans="1:12">
      <c r="A66" s="14" t="str">
        <f t="shared" si="1"/>
        <v>0x00000108</v>
      </c>
      <c r="B66" s="15">
        <f>SUM_HEX(C65:F65,B65,3)</f>
        <v>264</v>
      </c>
      <c r="C66" s="16" t="s">
        <v>23</v>
      </c>
      <c r="D66" s="16" t="s">
        <v>23</v>
      </c>
      <c r="E66" s="16" t="s">
        <v>23</v>
      </c>
      <c r="F66" s="16"/>
      <c r="G66" s="77"/>
      <c r="H66" s="28"/>
      <c r="I66" s="18"/>
      <c r="J66" s="18"/>
      <c r="K66" s="18"/>
      <c r="L66" s="18"/>
    </row>
    <row r="67" customHeight="1" spans="1:12">
      <c r="A67" s="14" t="str">
        <f t="shared" si="1"/>
        <v>0x00000114</v>
      </c>
      <c r="B67" s="15">
        <f>SUM_HEX(C66:F66,B66,3)</f>
        <v>276</v>
      </c>
      <c r="C67" s="16" t="s">
        <v>23</v>
      </c>
      <c r="D67" s="16" t="s">
        <v>23</v>
      </c>
      <c r="E67" s="16" t="s">
        <v>23</v>
      </c>
      <c r="F67" s="16"/>
      <c r="G67" s="18" t="s">
        <v>24</v>
      </c>
      <c r="H67" s="18" t="s">
        <v>110</v>
      </c>
      <c r="I67" s="18" t="s">
        <v>111</v>
      </c>
      <c r="J67" s="18"/>
      <c r="K67" s="18"/>
      <c r="L67" s="18"/>
    </row>
    <row r="68" customHeight="1" spans="1:12">
      <c r="A68" s="14" t="str">
        <f t="shared" si="1"/>
        <v>0x00000120</v>
      </c>
      <c r="B68" s="15">
        <f>SUM_HEX(C67:F67,B67,3)</f>
        <v>288</v>
      </c>
      <c r="C68" s="16" t="s">
        <v>23</v>
      </c>
      <c r="D68" s="16" t="s">
        <v>23</v>
      </c>
      <c r="E68" s="16" t="s">
        <v>23</v>
      </c>
      <c r="F68" s="16"/>
      <c r="G68" s="87" t="s">
        <v>24</v>
      </c>
      <c r="H68" s="87" t="s">
        <v>96</v>
      </c>
      <c r="I68" s="87" t="s">
        <v>112</v>
      </c>
      <c r="J68" s="87"/>
      <c r="K68" s="87"/>
      <c r="L68" s="87"/>
    </row>
    <row r="69" customHeight="1" spans="1:12">
      <c r="A69" s="14" t="str">
        <f t="shared" ref="A69:A116" si="2">"0x"&amp;DEC2HEX(B69,8)</f>
        <v>0x0000012C</v>
      </c>
      <c r="B69" s="15">
        <f>SUM_HEX(C68:F68,B68,3)</f>
        <v>300</v>
      </c>
      <c r="C69" s="16" t="s">
        <v>22</v>
      </c>
      <c r="D69" s="16" t="s">
        <v>113</v>
      </c>
      <c r="E69" s="16" t="s">
        <v>23</v>
      </c>
      <c r="F69" s="16"/>
      <c r="G69" s="18" t="s">
        <v>24</v>
      </c>
      <c r="H69" s="18" t="s">
        <v>114</v>
      </c>
      <c r="I69" s="18" t="s">
        <v>115</v>
      </c>
      <c r="J69" s="18"/>
      <c r="K69" s="18"/>
      <c r="L69" s="18"/>
    </row>
    <row r="70" customHeight="1" spans="1:12">
      <c r="A70" s="14" t="str">
        <f t="shared" si="2"/>
        <v>0x00000138</v>
      </c>
      <c r="B70" s="15">
        <f>SUM_HEX(C69:F69,B69,3)</f>
        <v>312</v>
      </c>
      <c r="C70" s="16" t="s">
        <v>22</v>
      </c>
      <c r="D70" s="16" t="s">
        <v>116</v>
      </c>
      <c r="E70" s="16" t="s">
        <v>23</v>
      </c>
      <c r="F70" s="16"/>
      <c r="G70" s="18" t="s">
        <v>24</v>
      </c>
      <c r="H70" s="18" t="s">
        <v>117</v>
      </c>
      <c r="I70" s="18" t="s">
        <v>118</v>
      </c>
      <c r="J70" s="18"/>
      <c r="K70" s="18"/>
      <c r="L70" s="18"/>
    </row>
    <row r="71" customHeight="1" spans="1:12">
      <c r="A71" s="14" t="str">
        <f t="shared" si="2"/>
        <v>0x00000144</v>
      </c>
      <c r="B71" s="15">
        <f>SUM_HEX(C70:F70,B70,3)</f>
        <v>324</v>
      </c>
      <c r="C71" s="16" t="s">
        <v>23</v>
      </c>
      <c r="D71" s="16" t="s">
        <v>23</v>
      </c>
      <c r="E71" s="16" t="s">
        <v>23</v>
      </c>
      <c r="F71" s="16"/>
      <c r="G71" s="18" t="s">
        <v>24</v>
      </c>
      <c r="H71" s="18" t="s">
        <v>119</v>
      </c>
      <c r="I71" s="18" t="s">
        <v>120</v>
      </c>
      <c r="J71" s="18"/>
      <c r="K71" s="18"/>
      <c r="L71" s="18"/>
    </row>
    <row r="72" customHeight="1" spans="1:12">
      <c r="A72" s="14" t="str">
        <f t="shared" si="2"/>
        <v>0x00000150</v>
      </c>
      <c r="B72" s="15">
        <f>SUM_HEX(C71:F71,B71,3)</f>
        <v>336</v>
      </c>
      <c r="C72" s="16" t="s">
        <v>23</v>
      </c>
      <c r="D72" s="16" t="s">
        <v>23</v>
      </c>
      <c r="E72" s="16" t="s">
        <v>23</v>
      </c>
      <c r="F72" s="16"/>
      <c r="G72" s="18" t="s">
        <v>24</v>
      </c>
      <c r="H72" s="18" t="s">
        <v>121</v>
      </c>
      <c r="I72" s="18" t="s">
        <v>122</v>
      </c>
      <c r="J72" s="18"/>
      <c r="K72" s="18"/>
      <c r="L72" s="18"/>
    </row>
    <row r="73" customHeight="1" spans="1:12">
      <c r="A73" s="14" t="str">
        <f t="shared" si="2"/>
        <v>0x0000015C</v>
      </c>
      <c r="B73" s="15">
        <f>SUM_HEX(C72:F72,B72,3)</f>
        <v>348</v>
      </c>
      <c r="C73" s="16" t="s">
        <v>23</v>
      </c>
      <c r="D73" s="16" t="s">
        <v>23</v>
      </c>
      <c r="E73" s="16" t="s">
        <v>23</v>
      </c>
      <c r="F73" s="16"/>
      <c r="G73" s="18" t="s">
        <v>24</v>
      </c>
      <c r="H73" s="18" t="s">
        <v>123</v>
      </c>
      <c r="I73" s="18" t="s">
        <v>124</v>
      </c>
      <c r="J73" s="18"/>
      <c r="K73" s="18"/>
      <c r="L73" s="18"/>
    </row>
    <row r="74" customHeight="1" spans="1:12">
      <c r="A74" s="14" t="str">
        <f t="shared" si="2"/>
        <v>0x00000168</v>
      </c>
      <c r="B74" s="15">
        <f>SUM_HEX(C73:F73,B73,3)</f>
        <v>360</v>
      </c>
      <c r="C74" s="16" t="s">
        <v>23</v>
      </c>
      <c r="D74" s="16" t="s">
        <v>23</v>
      </c>
      <c r="E74" s="16" t="s">
        <v>23</v>
      </c>
      <c r="F74" s="16"/>
      <c r="G74" s="18" t="s">
        <v>24</v>
      </c>
      <c r="H74" s="18" t="s">
        <v>125</v>
      </c>
      <c r="I74" s="18" t="s">
        <v>126</v>
      </c>
      <c r="J74" s="18"/>
      <c r="K74" s="18"/>
      <c r="L74" s="18"/>
    </row>
    <row r="75" customHeight="1" spans="1:12">
      <c r="A75" s="14" t="str">
        <f t="shared" si="2"/>
        <v>0x00000174</v>
      </c>
      <c r="B75" s="15">
        <f>SUM_HEX(C74:F74,B74,3)</f>
        <v>372</v>
      </c>
      <c r="C75" s="16" t="s">
        <v>23</v>
      </c>
      <c r="D75" s="16" t="s">
        <v>23</v>
      </c>
      <c r="E75" s="16" t="s">
        <v>23</v>
      </c>
      <c r="F75" s="16"/>
      <c r="G75" s="77"/>
      <c r="H75" s="28"/>
      <c r="I75" s="18"/>
      <c r="J75" s="18"/>
      <c r="K75" s="18"/>
      <c r="L75" s="18"/>
    </row>
    <row r="76" customHeight="1" spans="1:12">
      <c r="A76" s="14" t="str">
        <f t="shared" si="2"/>
        <v>0x00000180</v>
      </c>
      <c r="B76" s="15">
        <f>SUM_HEX(C75:F75,B75,3)</f>
        <v>384</v>
      </c>
      <c r="C76" s="16" t="s">
        <v>23</v>
      </c>
      <c r="D76" s="16" t="s">
        <v>23</v>
      </c>
      <c r="E76" s="16" t="s">
        <v>23</v>
      </c>
      <c r="F76" s="16"/>
      <c r="G76" s="18" t="s">
        <v>24</v>
      </c>
      <c r="H76" s="18" t="s">
        <v>127</v>
      </c>
      <c r="I76" s="18" t="s">
        <v>128</v>
      </c>
      <c r="J76" s="18"/>
      <c r="K76" s="18"/>
      <c r="L76" s="18"/>
    </row>
    <row r="77" customHeight="1" spans="1:12">
      <c r="A77" s="14" t="str">
        <f t="shared" si="2"/>
        <v>0x0000018C</v>
      </c>
      <c r="B77" s="15">
        <f>SUM_HEX(C76:F76,B76,3)</f>
        <v>396</v>
      </c>
      <c r="C77" s="16" t="s">
        <v>23</v>
      </c>
      <c r="D77" s="16" t="s">
        <v>23</v>
      </c>
      <c r="E77" s="16" t="s">
        <v>23</v>
      </c>
      <c r="F77" s="16"/>
      <c r="G77" s="18" t="s">
        <v>24</v>
      </c>
      <c r="H77" s="18" t="s">
        <v>129</v>
      </c>
      <c r="I77" s="18" t="s">
        <v>130</v>
      </c>
      <c r="J77" s="18"/>
      <c r="K77" s="18"/>
      <c r="L77" s="18"/>
    </row>
    <row r="78" customHeight="1" spans="1:12">
      <c r="A78" s="14" t="str">
        <f t="shared" si="2"/>
        <v>0x00000198</v>
      </c>
      <c r="B78" s="15">
        <f>SUM_HEX(C77:F77,B77,3)</f>
        <v>408</v>
      </c>
      <c r="C78" s="16" t="s">
        <v>23</v>
      </c>
      <c r="D78" s="16" t="s">
        <v>23</v>
      </c>
      <c r="E78" s="16" t="s">
        <v>23</v>
      </c>
      <c r="F78" s="16"/>
      <c r="G78" s="18" t="s">
        <v>24</v>
      </c>
      <c r="H78" s="18" t="s">
        <v>131</v>
      </c>
      <c r="I78" s="18" t="s">
        <v>132</v>
      </c>
      <c r="J78" s="18"/>
      <c r="K78" s="18"/>
      <c r="L78" s="18"/>
    </row>
    <row r="79" customHeight="1" spans="1:12">
      <c r="A79" s="14" t="str">
        <f t="shared" si="2"/>
        <v>0x000001A4</v>
      </c>
      <c r="B79" s="15">
        <f>SUM_HEX(C78:F78,B78,3)</f>
        <v>420</v>
      </c>
      <c r="C79" s="16" t="s">
        <v>23</v>
      </c>
      <c r="D79" s="16" t="s">
        <v>23</v>
      </c>
      <c r="E79" s="16" t="s">
        <v>23</v>
      </c>
      <c r="F79" s="16"/>
      <c r="G79" s="77"/>
      <c r="H79" s="28"/>
      <c r="I79" s="18"/>
      <c r="J79" s="18"/>
      <c r="K79" s="18"/>
      <c r="L79" s="18"/>
    </row>
    <row r="80" customHeight="1" spans="1:12">
      <c r="A80" s="14" t="str">
        <f t="shared" si="2"/>
        <v>0x000001B0</v>
      </c>
      <c r="B80" s="15">
        <f>SUM_HEX(C79:F79,B79,3)</f>
        <v>432</v>
      </c>
      <c r="C80" s="16" t="s">
        <v>23</v>
      </c>
      <c r="D80" s="16" t="s">
        <v>23</v>
      </c>
      <c r="E80" s="16" t="s">
        <v>23</v>
      </c>
      <c r="F80" s="16"/>
      <c r="G80" s="18" t="s">
        <v>24</v>
      </c>
      <c r="H80" s="18" t="s">
        <v>133</v>
      </c>
      <c r="I80" s="18" t="s">
        <v>134</v>
      </c>
      <c r="J80" s="18"/>
      <c r="K80" s="18"/>
      <c r="L80" s="18"/>
    </row>
    <row r="81" customHeight="1" spans="1:12">
      <c r="A81" s="14" t="str">
        <f t="shared" si="2"/>
        <v>0x000001BC</v>
      </c>
      <c r="B81" s="15">
        <f>SUM_HEX(C80:F80,B80,3)</f>
        <v>444</v>
      </c>
      <c r="C81" s="16" t="s">
        <v>23</v>
      </c>
      <c r="D81" s="16" t="s">
        <v>23</v>
      </c>
      <c r="E81" s="16" t="s">
        <v>23</v>
      </c>
      <c r="F81" s="16"/>
      <c r="G81" s="18" t="s">
        <v>24</v>
      </c>
      <c r="H81" s="18" t="s">
        <v>135</v>
      </c>
      <c r="I81" s="18" t="s">
        <v>136</v>
      </c>
      <c r="J81" s="18"/>
      <c r="K81" s="18"/>
      <c r="L81" s="18"/>
    </row>
    <row r="82" customHeight="1" spans="1:12">
      <c r="A82" s="14" t="str">
        <f t="shared" si="2"/>
        <v>0x000001C8</v>
      </c>
      <c r="B82" s="15">
        <f>SUM_HEX(C81:F81,B81,3)</f>
        <v>456</v>
      </c>
      <c r="C82" s="16" t="s">
        <v>23</v>
      </c>
      <c r="D82" s="16" t="s">
        <v>23</v>
      </c>
      <c r="E82" s="16" t="s">
        <v>23</v>
      </c>
      <c r="F82" s="16"/>
      <c r="G82" s="18" t="s">
        <v>24</v>
      </c>
      <c r="H82" s="18" t="s">
        <v>137</v>
      </c>
      <c r="I82" s="18" t="s">
        <v>138</v>
      </c>
      <c r="J82" s="18"/>
      <c r="K82" s="18"/>
      <c r="L82" s="18"/>
    </row>
    <row r="83" customHeight="1" spans="1:12">
      <c r="A83" s="14" t="str">
        <f t="shared" si="2"/>
        <v>0x000001D4</v>
      </c>
      <c r="B83" s="15">
        <f>SUM_HEX(C82:F82,B82,3)</f>
        <v>468</v>
      </c>
      <c r="C83" s="16" t="s">
        <v>23</v>
      </c>
      <c r="D83" s="16" t="s">
        <v>23</v>
      </c>
      <c r="E83" s="16" t="s">
        <v>23</v>
      </c>
      <c r="F83" s="16"/>
      <c r="G83" s="18" t="s">
        <v>24</v>
      </c>
      <c r="H83" s="18" t="s">
        <v>139</v>
      </c>
      <c r="I83" s="18" t="s">
        <v>140</v>
      </c>
      <c r="J83" s="18"/>
      <c r="K83" s="18"/>
      <c r="L83" s="18"/>
    </row>
    <row r="84" customHeight="1" spans="1:12">
      <c r="A84" s="14" t="str">
        <f t="shared" si="2"/>
        <v>0x000001E0</v>
      </c>
      <c r="B84" s="15">
        <f>SUM_HEX(C83:F83,B83,3)</f>
        <v>480</v>
      </c>
      <c r="C84" s="16" t="s">
        <v>23</v>
      </c>
      <c r="D84" s="16" t="s">
        <v>23</v>
      </c>
      <c r="E84" s="16" t="s">
        <v>23</v>
      </c>
      <c r="F84" s="16"/>
      <c r="G84" s="77"/>
      <c r="H84" s="28"/>
      <c r="I84" s="18"/>
      <c r="J84" s="18"/>
      <c r="K84" s="18"/>
      <c r="L84" s="18"/>
    </row>
    <row r="85" customHeight="1" spans="1:12">
      <c r="A85" s="14" t="str">
        <f t="shared" si="2"/>
        <v>0x000001EC</v>
      </c>
      <c r="B85" s="15">
        <f>SUM_HEX(C84:F84,B84,3)</f>
        <v>492</v>
      </c>
      <c r="C85" s="16" t="s">
        <v>23</v>
      </c>
      <c r="D85" s="16" t="s">
        <v>23</v>
      </c>
      <c r="E85" s="16" t="s">
        <v>23</v>
      </c>
      <c r="F85" s="16"/>
      <c r="G85" s="77"/>
      <c r="H85" s="28"/>
      <c r="I85" s="18"/>
      <c r="J85" s="18"/>
      <c r="K85" s="18"/>
      <c r="L85" s="18"/>
    </row>
    <row r="86" customHeight="1" spans="1:12">
      <c r="A86" s="14" t="str">
        <f t="shared" si="2"/>
        <v>0x000001F8</v>
      </c>
      <c r="B86" s="15">
        <f>SUM_HEX(C85:F85,B85,3)</f>
        <v>504</v>
      </c>
      <c r="C86" s="16" t="s">
        <v>23</v>
      </c>
      <c r="D86" s="16" t="s">
        <v>23</v>
      </c>
      <c r="E86" s="16" t="s">
        <v>23</v>
      </c>
      <c r="F86" s="16"/>
      <c r="G86" s="77"/>
      <c r="H86" s="28"/>
      <c r="I86" s="18"/>
      <c r="J86" s="18"/>
      <c r="K86" s="18"/>
      <c r="L86" s="18"/>
    </row>
    <row r="87" customHeight="1" spans="1:12">
      <c r="A87" s="14" t="str">
        <f t="shared" si="2"/>
        <v>0x00000204</v>
      </c>
      <c r="B87" s="15">
        <f>SUM_HEX(C86:F86,B86,3)</f>
        <v>516</v>
      </c>
      <c r="C87" s="16" t="s">
        <v>23</v>
      </c>
      <c r="D87" s="16" t="s">
        <v>23</v>
      </c>
      <c r="E87" s="16" t="s">
        <v>23</v>
      </c>
      <c r="F87" s="16"/>
      <c r="G87" s="77"/>
      <c r="H87" s="28"/>
      <c r="I87" s="18"/>
      <c r="J87" s="18"/>
      <c r="K87" s="18"/>
      <c r="L87" s="18"/>
    </row>
    <row r="88" customHeight="1" spans="1:12">
      <c r="A88" s="14" t="str">
        <f t="shared" si="2"/>
        <v>0x00000210</v>
      </c>
      <c r="B88" s="15">
        <f>SUM_HEX(C87:F87,B87,3)</f>
        <v>528</v>
      </c>
      <c r="C88" s="16" t="s">
        <v>23</v>
      </c>
      <c r="D88" s="16" t="s">
        <v>23</v>
      </c>
      <c r="E88" s="16" t="s">
        <v>23</v>
      </c>
      <c r="F88" s="16"/>
      <c r="G88" s="77"/>
      <c r="H88" s="28"/>
      <c r="I88" s="18"/>
      <c r="J88" s="18"/>
      <c r="K88" s="18"/>
      <c r="L88" s="18"/>
    </row>
    <row r="89" customHeight="1" spans="1:12">
      <c r="A89" s="14" t="str">
        <f t="shared" si="2"/>
        <v>0x0000021C</v>
      </c>
      <c r="B89" s="15">
        <f>SUM_HEX(C88:F88,B88,3)</f>
        <v>540</v>
      </c>
      <c r="C89" s="16" t="s">
        <v>23</v>
      </c>
      <c r="D89" s="16" t="s">
        <v>23</v>
      </c>
      <c r="E89" s="16" t="s">
        <v>23</v>
      </c>
      <c r="F89" s="16"/>
      <c r="G89" s="77"/>
      <c r="H89" s="28"/>
      <c r="I89" s="18"/>
      <c r="J89" s="18"/>
      <c r="K89" s="18"/>
      <c r="L89" s="18"/>
    </row>
    <row r="90" customHeight="1" spans="1:12">
      <c r="A90" s="14" t="str">
        <f t="shared" si="2"/>
        <v>0x00000228</v>
      </c>
      <c r="B90" s="15">
        <f>SUM_HEX(C89:F89,B89,3)</f>
        <v>552</v>
      </c>
      <c r="C90" s="16" t="s">
        <v>23</v>
      </c>
      <c r="D90" s="16" t="s">
        <v>23</v>
      </c>
      <c r="E90" s="16" t="s">
        <v>23</v>
      </c>
      <c r="F90" s="16"/>
      <c r="G90" s="77"/>
      <c r="H90" s="28"/>
      <c r="I90" s="18"/>
      <c r="J90" s="18"/>
      <c r="K90" s="18"/>
      <c r="L90" s="18"/>
    </row>
    <row r="91" customHeight="1" spans="1:12">
      <c r="A91" s="14" t="str">
        <f t="shared" si="2"/>
        <v>0x00000234</v>
      </c>
      <c r="B91" s="15">
        <f>SUM_HEX(C90:F90,B90,3)</f>
        <v>564</v>
      </c>
      <c r="C91" s="16" t="s">
        <v>23</v>
      </c>
      <c r="D91" s="16" t="s">
        <v>23</v>
      </c>
      <c r="E91" s="16" t="s">
        <v>23</v>
      </c>
      <c r="F91" s="16"/>
      <c r="G91" s="77"/>
      <c r="H91" s="28"/>
      <c r="I91" s="18"/>
      <c r="J91" s="18"/>
      <c r="K91" s="18"/>
      <c r="L91" s="18"/>
    </row>
    <row r="92" customHeight="1" spans="1:12">
      <c r="A92" s="14" t="str">
        <f t="shared" si="2"/>
        <v>0x00000240</v>
      </c>
      <c r="B92" s="15">
        <f>SUM_HEX(C91:F91,B91,3)</f>
        <v>576</v>
      </c>
      <c r="C92" s="16" t="s">
        <v>23</v>
      </c>
      <c r="D92" s="16" t="s">
        <v>23</v>
      </c>
      <c r="E92" s="16" t="s">
        <v>23</v>
      </c>
      <c r="F92" s="16"/>
      <c r="G92" s="77"/>
      <c r="H92" s="28"/>
      <c r="I92" s="18"/>
      <c r="J92" s="18"/>
      <c r="K92" s="18"/>
      <c r="L92" s="18"/>
    </row>
    <row r="93" customHeight="1" spans="1:12">
      <c r="A93" s="14" t="str">
        <f t="shared" si="2"/>
        <v>0x0000024C</v>
      </c>
      <c r="B93" s="15">
        <f>SUM_HEX(C92:F92,B92,3)</f>
        <v>588</v>
      </c>
      <c r="C93" s="16" t="s">
        <v>23</v>
      </c>
      <c r="D93" s="16" t="s">
        <v>23</v>
      </c>
      <c r="E93" s="16" t="s">
        <v>23</v>
      </c>
      <c r="F93" s="16"/>
      <c r="G93" s="77"/>
      <c r="H93" s="28"/>
      <c r="I93" s="18"/>
      <c r="J93" s="18"/>
      <c r="K93" s="18"/>
      <c r="L93" s="18"/>
    </row>
    <row r="94" customHeight="1" spans="1:12">
      <c r="A94" s="14" t="str">
        <f t="shared" si="2"/>
        <v>0x00000258</v>
      </c>
      <c r="B94" s="15">
        <f>SUM_HEX(C93:F93,B93,3)</f>
        <v>600</v>
      </c>
      <c r="C94" s="16" t="s">
        <v>23</v>
      </c>
      <c r="D94" s="16" t="s">
        <v>23</v>
      </c>
      <c r="E94" s="16" t="s">
        <v>23</v>
      </c>
      <c r="F94" s="16"/>
      <c r="G94" s="77"/>
      <c r="H94" s="28"/>
      <c r="I94" s="18"/>
      <c r="J94" s="18"/>
      <c r="K94" s="18"/>
      <c r="L94" s="18"/>
    </row>
    <row r="95" customHeight="1" spans="1:12">
      <c r="A95" s="14" t="str">
        <f t="shared" si="2"/>
        <v>0x00000264</v>
      </c>
      <c r="B95" s="15">
        <f>SUM_HEX(C94:F94,B94,3)</f>
        <v>612</v>
      </c>
      <c r="C95" s="16" t="s">
        <v>22</v>
      </c>
      <c r="D95" s="16" t="s">
        <v>141</v>
      </c>
      <c r="E95" s="16" t="s">
        <v>23</v>
      </c>
      <c r="F95" s="16"/>
      <c r="G95" s="18" t="s">
        <v>24</v>
      </c>
      <c r="H95" s="18" t="s">
        <v>142</v>
      </c>
      <c r="I95" s="18" t="s">
        <v>143</v>
      </c>
      <c r="J95" s="18"/>
      <c r="K95" s="18"/>
      <c r="L95" s="18"/>
    </row>
    <row r="96" customHeight="1" spans="1:12">
      <c r="A96" s="14" t="str">
        <f t="shared" si="2"/>
        <v>0x00000270</v>
      </c>
      <c r="B96" s="15">
        <f>SUM_HEX(C95:F95,B95,3)</f>
        <v>624</v>
      </c>
      <c r="C96" s="16" t="s">
        <v>22</v>
      </c>
      <c r="D96" s="16"/>
      <c r="E96" s="16"/>
      <c r="F96" s="16"/>
      <c r="G96" s="72" t="s">
        <v>144</v>
      </c>
      <c r="H96" s="33"/>
      <c r="I96" s="18" t="s">
        <v>145</v>
      </c>
      <c r="J96" s="50" t="s">
        <v>146</v>
      </c>
      <c r="K96" s="93"/>
      <c r="L96" s="93"/>
    </row>
    <row r="97" customHeight="1" spans="1:12">
      <c r="A97" s="14" t="str">
        <f t="shared" si="2"/>
        <v>0x00000274</v>
      </c>
      <c r="B97" s="15">
        <f>SUM_HEX(C96:F96,B96,3)</f>
        <v>628</v>
      </c>
      <c r="C97" s="16" t="s">
        <v>147</v>
      </c>
      <c r="D97" s="16"/>
      <c r="E97" s="16"/>
      <c r="F97" s="16"/>
      <c r="G97" s="82"/>
      <c r="H97" s="35"/>
      <c r="I97" s="18"/>
      <c r="J97" s="18"/>
      <c r="K97" s="93"/>
      <c r="L97" s="93"/>
    </row>
    <row r="98" customHeight="1" spans="1:12">
      <c r="A98" s="14" t="str">
        <f t="shared" si="2"/>
        <v>0x00000278</v>
      </c>
      <c r="B98" s="15">
        <f>SUM_HEX(C97:F97,B97,3)</f>
        <v>632</v>
      </c>
      <c r="C98" s="16" t="s">
        <v>148</v>
      </c>
      <c r="D98" s="16" t="s">
        <v>23</v>
      </c>
      <c r="E98" s="16" t="s">
        <v>23</v>
      </c>
      <c r="F98" s="16" t="s">
        <v>23</v>
      </c>
      <c r="G98" s="82"/>
      <c r="H98" s="35"/>
      <c r="I98" s="18"/>
      <c r="J98" s="18"/>
      <c r="K98" s="93"/>
      <c r="L98" s="93"/>
    </row>
    <row r="99" customHeight="1" spans="1:12">
      <c r="A99" s="14" t="str">
        <f t="shared" si="2"/>
        <v>0x00000288</v>
      </c>
      <c r="B99" s="15">
        <f>SUM_HEX(C98:F98,B98,3)</f>
        <v>648</v>
      </c>
      <c r="C99" s="16" t="s">
        <v>23</v>
      </c>
      <c r="D99" s="16" t="s">
        <v>148</v>
      </c>
      <c r="E99" s="16" t="s">
        <v>23</v>
      </c>
      <c r="F99" s="16" t="s">
        <v>23</v>
      </c>
      <c r="G99" s="82"/>
      <c r="H99" s="35"/>
      <c r="I99" s="18"/>
      <c r="J99" s="18"/>
      <c r="K99" s="93"/>
      <c r="L99" s="93"/>
    </row>
    <row r="100" customHeight="1" spans="1:12">
      <c r="A100" s="14" t="str">
        <f t="shared" si="2"/>
        <v>0x00000298</v>
      </c>
      <c r="B100" s="15">
        <f>SUM_HEX(C99:F99,B99,3)</f>
        <v>664</v>
      </c>
      <c r="C100" s="16" t="s">
        <v>23</v>
      </c>
      <c r="D100" s="16" t="s">
        <v>23</v>
      </c>
      <c r="E100" s="16" t="s">
        <v>148</v>
      </c>
      <c r="F100" s="16" t="s">
        <v>23</v>
      </c>
      <c r="G100" s="82"/>
      <c r="H100" s="35"/>
      <c r="I100" s="18"/>
      <c r="J100" s="18"/>
      <c r="K100" s="93"/>
      <c r="L100" s="93"/>
    </row>
    <row r="101" customHeight="1" spans="1:12">
      <c r="A101" s="14" t="str">
        <f t="shared" si="2"/>
        <v>0x000002A8</v>
      </c>
      <c r="B101" s="15">
        <f>SUM_HEX(C100:F100,B100,3)</f>
        <v>680</v>
      </c>
      <c r="C101" s="16" t="s">
        <v>23</v>
      </c>
      <c r="D101" s="16" t="s">
        <v>23</v>
      </c>
      <c r="E101" s="16" t="s">
        <v>23</v>
      </c>
      <c r="F101" s="16" t="s">
        <v>148</v>
      </c>
      <c r="G101" s="82"/>
      <c r="H101" s="35"/>
      <c r="I101" s="18"/>
      <c r="J101" s="18"/>
      <c r="K101" s="93"/>
      <c r="L101" s="93"/>
    </row>
    <row r="102" customHeight="1" spans="1:12">
      <c r="A102" s="14" t="str">
        <f t="shared" si="2"/>
        <v>0x000002B8</v>
      </c>
      <c r="B102" s="15">
        <f>SUM_HEX(C101:F101,B101,3)</f>
        <v>696</v>
      </c>
      <c r="C102" s="16" t="s">
        <v>23</v>
      </c>
      <c r="D102" s="16" t="s">
        <v>23</v>
      </c>
      <c r="E102" s="16" t="s">
        <v>23</v>
      </c>
      <c r="F102" s="16"/>
      <c r="G102" s="82"/>
      <c r="H102" s="35"/>
      <c r="I102" s="18"/>
      <c r="J102" s="18"/>
      <c r="K102" s="93"/>
      <c r="L102" s="93"/>
    </row>
    <row r="103" customHeight="1" spans="1:12">
      <c r="A103" s="14" t="str">
        <f t="shared" si="2"/>
        <v>0x000002C4</v>
      </c>
      <c r="B103" s="15">
        <f>SUM_HEX(C102:F102,B102,3)</f>
        <v>708</v>
      </c>
      <c r="C103" s="16" t="s">
        <v>23</v>
      </c>
      <c r="D103" s="16" t="s">
        <v>23</v>
      </c>
      <c r="E103" s="16" t="s">
        <v>23</v>
      </c>
      <c r="F103" s="16"/>
      <c r="G103" s="82"/>
      <c r="H103" s="35"/>
      <c r="I103" s="18"/>
      <c r="J103" s="18"/>
      <c r="K103" s="93"/>
      <c r="L103" s="93"/>
    </row>
    <row r="104" customHeight="1" spans="1:12">
      <c r="A104" s="14" t="str">
        <f t="shared" si="2"/>
        <v>0x000002D0</v>
      </c>
      <c r="B104" s="15">
        <f>SUM_HEX(C103:F103,B103,3)</f>
        <v>720</v>
      </c>
      <c r="C104" s="16" t="s">
        <v>23</v>
      </c>
      <c r="D104" s="16"/>
      <c r="E104" s="16"/>
      <c r="F104" s="16"/>
      <c r="G104" s="82"/>
      <c r="H104" s="35"/>
      <c r="I104" s="18"/>
      <c r="J104" s="18"/>
      <c r="K104" s="93"/>
      <c r="L104" s="93"/>
    </row>
    <row r="105" customHeight="1" spans="1:12">
      <c r="A105" s="14" t="str">
        <f t="shared" si="2"/>
        <v>0x000002D4</v>
      </c>
      <c r="B105" s="15">
        <f>SUM_HEX(C104:F104,B104,3)</f>
        <v>724</v>
      </c>
      <c r="C105" s="16" t="s">
        <v>23</v>
      </c>
      <c r="D105" s="16"/>
      <c r="E105" s="16"/>
      <c r="F105" s="16"/>
      <c r="G105" s="82"/>
      <c r="H105" s="35"/>
      <c r="I105" s="18"/>
      <c r="J105" s="18"/>
      <c r="K105" s="93"/>
      <c r="L105" s="93"/>
    </row>
    <row r="106" customHeight="1" spans="1:12">
      <c r="A106" s="14" t="str">
        <f t="shared" si="2"/>
        <v>0x000002D8</v>
      </c>
      <c r="B106" s="15">
        <f>SUM_HEX(C105:F105,B105,3)</f>
        <v>728</v>
      </c>
      <c r="C106" s="16" t="s">
        <v>23</v>
      </c>
      <c r="D106" s="16"/>
      <c r="E106" s="16"/>
      <c r="F106" s="16"/>
      <c r="G106" s="83"/>
      <c r="H106" s="37"/>
      <c r="I106" s="18"/>
      <c r="J106" s="18"/>
      <c r="K106" s="93"/>
      <c r="L106" s="93"/>
    </row>
    <row r="107" customHeight="1" spans="1:12">
      <c r="A107" s="14" t="str">
        <f t="shared" si="2"/>
        <v>0x000002DC</v>
      </c>
      <c r="B107" s="15">
        <f>SUM_HEX(C106:F106,B106,3)</f>
        <v>732</v>
      </c>
      <c r="C107" s="16" t="s">
        <v>23</v>
      </c>
      <c r="D107" s="16" t="s">
        <v>23</v>
      </c>
      <c r="E107" s="16" t="s">
        <v>23</v>
      </c>
      <c r="F107" s="16"/>
      <c r="G107" s="18" t="s">
        <v>24</v>
      </c>
      <c r="H107" s="18" t="s">
        <v>149</v>
      </c>
      <c r="I107" s="18" t="s">
        <v>150</v>
      </c>
      <c r="J107" s="18"/>
      <c r="K107" s="18"/>
      <c r="L107" s="18"/>
    </row>
    <row r="108" customHeight="1" spans="1:12">
      <c r="A108" s="14" t="str">
        <f t="shared" si="2"/>
        <v>0x000002E8</v>
      </c>
      <c r="B108" s="15">
        <f>SUM_HEX(C107:F107,B107,3)</f>
        <v>744</v>
      </c>
      <c r="C108" s="16" t="s">
        <v>23</v>
      </c>
      <c r="D108" s="16" t="s">
        <v>23</v>
      </c>
      <c r="E108" s="16" t="s">
        <v>23</v>
      </c>
      <c r="F108" s="16"/>
      <c r="G108" s="18" t="s">
        <v>24</v>
      </c>
      <c r="H108" s="18" t="s">
        <v>151</v>
      </c>
      <c r="I108" s="18" t="s">
        <v>152</v>
      </c>
      <c r="J108" s="18"/>
      <c r="K108" s="18"/>
      <c r="L108" s="18"/>
    </row>
    <row r="109" customHeight="1" spans="1:12">
      <c r="A109" s="14" t="str">
        <f t="shared" si="2"/>
        <v>0x000002F4</v>
      </c>
      <c r="B109" s="15">
        <f>SUM_HEX(C108:F108,B108,3)</f>
        <v>756</v>
      </c>
      <c r="C109" s="16" t="s">
        <v>23</v>
      </c>
      <c r="D109" s="16" t="s">
        <v>23</v>
      </c>
      <c r="E109" s="16" t="s">
        <v>23</v>
      </c>
      <c r="F109" s="16"/>
      <c r="G109" s="18" t="s">
        <v>24</v>
      </c>
      <c r="H109" s="18" t="s">
        <v>96</v>
      </c>
      <c r="I109" s="18" t="s">
        <v>153</v>
      </c>
      <c r="J109" s="18"/>
      <c r="K109" s="18"/>
      <c r="L109" s="18"/>
    </row>
    <row r="110" customHeight="1" spans="1:12">
      <c r="A110" s="14" t="str">
        <f t="shared" si="2"/>
        <v>0x00000300</v>
      </c>
      <c r="B110" s="15">
        <f>SUM_HEX(C109:F109,B109,3)</f>
        <v>768</v>
      </c>
      <c r="C110" s="16" t="s">
        <v>23</v>
      </c>
      <c r="D110" s="16" t="s">
        <v>23</v>
      </c>
      <c r="E110" s="16" t="s">
        <v>23</v>
      </c>
      <c r="F110" s="16"/>
      <c r="G110" s="18" t="s">
        <v>24</v>
      </c>
      <c r="H110" s="18" t="s">
        <v>96</v>
      </c>
      <c r="I110" s="18" t="s">
        <v>154</v>
      </c>
      <c r="J110" s="18"/>
      <c r="K110" s="18"/>
      <c r="L110" s="18"/>
    </row>
    <row r="111" customHeight="1" spans="1:12">
      <c r="A111" s="14" t="str">
        <f t="shared" si="2"/>
        <v>0x0000030C</v>
      </c>
      <c r="B111" s="15">
        <f>SUM_HEX(C110:F110,B110,3)</f>
        <v>780</v>
      </c>
      <c r="C111" s="16" t="s">
        <v>23</v>
      </c>
      <c r="D111" s="16" t="s">
        <v>23</v>
      </c>
      <c r="E111" s="16" t="s">
        <v>23</v>
      </c>
      <c r="F111" s="16"/>
      <c r="G111" s="18" t="s">
        <v>24</v>
      </c>
      <c r="H111" s="18" t="s">
        <v>155</v>
      </c>
      <c r="I111" s="18" t="s">
        <v>156</v>
      </c>
      <c r="J111" s="18"/>
      <c r="K111" s="18"/>
      <c r="L111" s="18"/>
    </row>
    <row r="112" customHeight="1" spans="1:12">
      <c r="A112" s="14" t="str">
        <f t="shared" si="2"/>
        <v>0x00000318</v>
      </c>
      <c r="B112" s="15">
        <f>SUM_HEX(C111:F111,B111,3)</f>
        <v>792</v>
      </c>
      <c r="C112" s="16" t="s">
        <v>23</v>
      </c>
      <c r="D112" s="16" t="s">
        <v>23</v>
      </c>
      <c r="E112" s="16"/>
      <c r="F112" s="16"/>
      <c r="G112" s="18"/>
      <c r="H112" s="18"/>
      <c r="I112" s="18"/>
      <c r="J112" s="18"/>
      <c r="K112" s="18"/>
      <c r="L112" s="18"/>
    </row>
    <row r="113" customHeight="1" spans="1:12">
      <c r="A113" s="14" t="str">
        <f t="shared" si="2"/>
        <v>0x00000320</v>
      </c>
      <c r="B113" s="15">
        <f>SUM_HEX(C112:F112,B112,3)</f>
        <v>800</v>
      </c>
      <c r="C113" s="16" t="s">
        <v>23</v>
      </c>
      <c r="D113" s="16"/>
      <c r="E113" s="16"/>
      <c r="F113" s="16"/>
      <c r="G113" s="87" t="s">
        <v>157</v>
      </c>
      <c r="H113" s="88"/>
      <c r="I113" s="87"/>
      <c r="J113" s="87" t="s">
        <v>158</v>
      </c>
      <c r="K113" s="18"/>
      <c r="L113" s="18"/>
    </row>
    <row r="114" customHeight="1" spans="1:12">
      <c r="A114" s="14" t="str">
        <f t="shared" si="2"/>
        <v>0x00000324</v>
      </c>
      <c r="B114" s="15">
        <f>SUM_HEX(C113:F113,B113,3)</f>
        <v>804</v>
      </c>
      <c r="C114" s="16" t="s">
        <v>159</v>
      </c>
      <c r="D114" s="16"/>
      <c r="E114" s="16"/>
      <c r="F114" s="16"/>
      <c r="G114" s="87"/>
      <c r="H114" s="89"/>
      <c r="I114" s="87"/>
      <c r="J114" s="87"/>
      <c r="K114" s="18"/>
      <c r="L114" s="18"/>
    </row>
    <row r="115" customHeight="1" spans="1:12">
      <c r="A115" s="14" t="str">
        <f t="shared" si="2"/>
        <v>0x00000328</v>
      </c>
      <c r="B115" s="15">
        <f>SUM_HEX(C114:F114,B114,3)</f>
        <v>808</v>
      </c>
      <c r="C115" s="16" t="s">
        <v>23</v>
      </c>
      <c r="D115" s="16" t="s">
        <v>23</v>
      </c>
      <c r="E115" s="16"/>
      <c r="F115" s="16"/>
      <c r="G115" s="87"/>
      <c r="H115" s="89"/>
      <c r="I115" s="87"/>
      <c r="J115" s="87"/>
      <c r="K115" s="18"/>
      <c r="L115" s="18"/>
    </row>
    <row r="116" customHeight="1" spans="1:12">
      <c r="A116" s="14" t="str">
        <f t="shared" si="2"/>
        <v>0x00000330</v>
      </c>
      <c r="B116" s="15">
        <f>SUM_HEX(C115:F115,B115,3)</f>
        <v>816</v>
      </c>
      <c r="C116" s="16" t="s">
        <v>23</v>
      </c>
      <c r="D116" s="16"/>
      <c r="E116" s="16"/>
      <c r="F116" s="16"/>
      <c r="G116" s="87"/>
      <c r="H116" s="90"/>
      <c r="I116" s="87"/>
      <c r="J116" s="87"/>
      <c r="K116" s="18"/>
      <c r="L116" s="18"/>
    </row>
    <row r="118" customHeight="1" spans="1:3">
      <c r="A118" s="7" t="s">
        <v>26</v>
      </c>
      <c r="B118" s="8" t="s">
        <v>27</v>
      </c>
      <c r="C118" s="9" t="s">
        <v>160</v>
      </c>
    </row>
    <row r="119" customHeight="1" spans="1:14">
      <c r="A119" s="73" t="s">
        <v>2</v>
      </c>
      <c r="B119" s="74"/>
      <c r="C119" s="75" t="s">
        <v>3</v>
      </c>
      <c r="D119" s="75"/>
      <c r="E119" s="75"/>
      <c r="F119" s="75"/>
      <c r="G119" s="76" t="s">
        <v>4</v>
      </c>
      <c r="H119" s="27"/>
      <c r="I119" s="13" t="s">
        <v>5</v>
      </c>
      <c r="J119" s="13" t="s">
        <v>6</v>
      </c>
      <c r="K119" s="13" t="s">
        <v>7</v>
      </c>
      <c r="L119" s="13" t="s">
        <v>8</v>
      </c>
      <c r="N119" s="4" t="str">
        <f>TO_HTML_TABLE(A119:L119)</f>
        <v>&lt;tr&gt;&lt;td colspan="2"&gt;Offset&lt;/td&gt;&lt;td colspan="4"&gt;HEX&lt;/td&gt;&lt;td colspan="2"&gt;Type&lt;/td&gt;&lt;td&gt;Name&lt;/td&gt;&lt;td&gt;Description&lt;/td&gt;&lt;td&gt;Bound&lt;/td&gt;&lt;td&gt;ToMax&lt;/td&gt;&lt;/tr&gt;</v>
      </c>
    </row>
    <row r="120" customHeight="1" spans="1:12">
      <c r="A120" s="91" t="str">
        <f>"0x"&amp;DEC2HEX(B120,8)</f>
        <v>0x00000264</v>
      </c>
      <c r="B120" s="92">
        <v>612</v>
      </c>
      <c r="C120" s="53" t="s">
        <v>23</v>
      </c>
      <c r="D120" s="53" t="s">
        <v>23</v>
      </c>
      <c r="E120" s="53" t="s">
        <v>23</v>
      </c>
      <c r="F120" s="53"/>
      <c r="G120" s="64"/>
      <c r="H120" s="65"/>
      <c r="I120" s="54"/>
      <c r="J120" s="54"/>
      <c r="K120" s="54"/>
      <c r="L120" s="54"/>
    </row>
    <row r="121" customHeight="1" spans="1:12">
      <c r="A121" s="91" t="str">
        <f>"0x"&amp;DEC2HEX(B121,8)</f>
        <v>0x00000270</v>
      </c>
      <c r="B121" s="92">
        <f>SUM_HEX(C120:F120,B120,3)</f>
        <v>624</v>
      </c>
      <c r="C121" s="53" t="s">
        <v>29</v>
      </c>
      <c r="D121" s="53" t="s">
        <v>161</v>
      </c>
      <c r="E121" s="53" t="s">
        <v>23</v>
      </c>
      <c r="F121" s="53"/>
      <c r="G121" s="54" t="s">
        <v>24</v>
      </c>
      <c r="H121" s="54"/>
      <c r="I121" s="54"/>
      <c r="J121" s="54" t="s">
        <v>162</v>
      </c>
      <c r="K121" s="54"/>
      <c r="L121" s="54"/>
    </row>
    <row r="122" customHeight="1" spans="1:12">
      <c r="A122" s="91" t="str">
        <f>"0x"&amp;DEC2HEX(B122,8)</f>
        <v>0x0000027C</v>
      </c>
      <c r="B122" s="92">
        <f>SUM_HEX(C121:F121,B121,3)</f>
        <v>636</v>
      </c>
      <c r="C122" s="53" t="s">
        <v>163</v>
      </c>
      <c r="D122" s="53" t="s">
        <v>164</v>
      </c>
      <c r="E122" s="53" t="s">
        <v>23</v>
      </c>
      <c r="F122" s="53"/>
      <c r="G122" s="54" t="s">
        <v>24</v>
      </c>
      <c r="H122" s="54"/>
      <c r="I122" s="54"/>
      <c r="J122" s="54" t="s">
        <v>165</v>
      </c>
      <c r="K122" s="54"/>
      <c r="L122" s="54"/>
    </row>
  </sheetData>
  <mergeCells count="150">
    <mergeCell ref="A2:B2"/>
    <mergeCell ref="C2:F2"/>
    <mergeCell ref="G2:H2"/>
    <mergeCell ref="N2:AI2"/>
    <mergeCell ref="G3:H3"/>
    <mergeCell ref="N3:AI3"/>
    <mergeCell ref="G4:H4"/>
    <mergeCell ref="N4:AI4"/>
    <mergeCell ref="G5:H5"/>
    <mergeCell ref="N5:AI5"/>
    <mergeCell ref="N6:AI6"/>
    <mergeCell ref="N7:AI7"/>
    <mergeCell ref="N8:AI8"/>
    <mergeCell ref="A9:B9"/>
    <mergeCell ref="C9:F9"/>
    <mergeCell ref="G9:H9"/>
    <mergeCell ref="N9:AI9"/>
    <mergeCell ref="N10:AI10"/>
    <mergeCell ref="G11:H11"/>
    <mergeCell ref="N11:AI11"/>
    <mergeCell ref="N12:AI12"/>
    <mergeCell ref="N13:AI13"/>
    <mergeCell ref="N14:AI14"/>
    <mergeCell ref="G15:H15"/>
    <mergeCell ref="N15:AI15"/>
    <mergeCell ref="N16:AI16"/>
    <mergeCell ref="N17:AI17"/>
    <mergeCell ref="G18:H18"/>
    <mergeCell ref="N18:AI18"/>
    <mergeCell ref="N19:AI19"/>
    <mergeCell ref="N51:AI51"/>
    <mergeCell ref="N52:AI52"/>
    <mergeCell ref="N53:AI53"/>
    <mergeCell ref="N54:AI54"/>
    <mergeCell ref="N55:AI55"/>
    <mergeCell ref="N56:AI56"/>
    <mergeCell ref="N57:AI57"/>
    <mergeCell ref="G58:H58"/>
    <mergeCell ref="N58:AI58"/>
    <mergeCell ref="G59:H59"/>
    <mergeCell ref="N59:AI59"/>
    <mergeCell ref="G60:H60"/>
    <mergeCell ref="N60:AI60"/>
    <mergeCell ref="G61:H61"/>
    <mergeCell ref="N61:AI61"/>
    <mergeCell ref="G62:H62"/>
    <mergeCell ref="N62:AI62"/>
    <mergeCell ref="N63:AI63"/>
    <mergeCell ref="N64:AI64"/>
    <mergeCell ref="N65:AI65"/>
    <mergeCell ref="G66:H66"/>
    <mergeCell ref="N66:AI66"/>
    <mergeCell ref="N67:AI67"/>
    <mergeCell ref="N68:AI68"/>
    <mergeCell ref="N69:AI69"/>
    <mergeCell ref="N70:AI70"/>
    <mergeCell ref="N71:AI71"/>
    <mergeCell ref="N72:AI72"/>
    <mergeCell ref="N73:AI73"/>
    <mergeCell ref="N74:AI74"/>
    <mergeCell ref="G75:H75"/>
    <mergeCell ref="N75:AI75"/>
    <mergeCell ref="N76:AI76"/>
    <mergeCell ref="N77:AI77"/>
    <mergeCell ref="N78:AI78"/>
    <mergeCell ref="G79:H79"/>
    <mergeCell ref="N79:AI79"/>
    <mergeCell ref="N80:AI80"/>
    <mergeCell ref="N81:AI81"/>
    <mergeCell ref="N82:AI82"/>
    <mergeCell ref="N83:AI83"/>
    <mergeCell ref="G84:H84"/>
    <mergeCell ref="N84:AI84"/>
    <mergeCell ref="G85:H85"/>
    <mergeCell ref="N85:AI85"/>
    <mergeCell ref="G86:H86"/>
    <mergeCell ref="N86:AI86"/>
    <mergeCell ref="G87:H87"/>
    <mergeCell ref="N87:AI87"/>
    <mergeCell ref="G88:H88"/>
    <mergeCell ref="N88:AI88"/>
    <mergeCell ref="G89:H89"/>
    <mergeCell ref="N89:AI89"/>
    <mergeCell ref="G90:H90"/>
    <mergeCell ref="N90:AI90"/>
    <mergeCell ref="G91:H91"/>
    <mergeCell ref="N91:AI91"/>
    <mergeCell ref="G92:H92"/>
    <mergeCell ref="N92:AI92"/>
    <mergeCell ref="G93:H93"/>
    <mergeCell ref="N93:AI93"/>
    <mergeCell ref="G94:H94"/>
    <mergeCell ref="N94:AI94"/>
    <mergeCell ref="N95:AI95"/>
    <mergeCell ref="N96:AI96"/>
    <mergeCell ref="N97:AI97"/>
    <mergeCell ref="N98:AI98"/>
    <mergeCell ref="N99:AI99"/>
    <mergeCell ref="N100:AI100"/>
    <mergeCell ref="N101:AI101"/>
    <mergeCell ref="N102:AI102"/>
    <mergeCell ref="N103:AI103"/>
    <mergeCell ref="N104:AI104"/>
    <mergeCell ref="N105:AI105"/>
    <mergeCell ref="N106:AI106"/>
    <mergeCell ref="N107:AI107"/>
    <mergeCell ref="N108:AI108"/>
    <mergeCell ref="N109:AI109"/>
    <mergeCell ref="N110:AI110"/>
    <mergeCell ref="N111:AI111"/>
    <mergeCell ref="N112:AI112"/>
    <mergeCell ref="N113:AI113"/>
    <mergeCell ref="N114:AI114"/>
    <mergeCell ref="N115:AI115"/>
    <mergeCell ref="N116:AI116"/>
    <mergeCell ref="A119:B119"/>
    <mergeCell ref="C119:F119"/>
    <mergeCell ref="G119:H119"/>
    <mergeCell ref="N119:AI119"/>
    <mergeCell ref="G120:H120"/>
    <mergeCell ref="N120:AI120"/>
    <mergeCell ref="N121:AI121"/>
    <mergeCell ref="N122:AI122"/>
    <mergeCell ref="A19:A50"/>
    <mergeCell ref="B19:B50"/>
    <mergeCell ref="C19:C50"/>
    <mergeCell ref="D19:D50"/>
    <mergeCell ref="E19:E50"/>
    <mergeCell ref="F19:F50"/>
    <mergeCell ref="G19:G50"/>
    <mergeCell ref="G113:G116"/>
    <mergeCell ref="H113:H116"/>
    <mergeCell ref="I19:I50"/>
    <mergeCell ref="I54:I57"/>
    <mergeCell ref="I96:I106"/>
    <mergeCell ref="I113:I116"/>
    <mergeCell ref="J19:J50"/>
    <mergeCell ref="J54:J57"/>
    <mergeCell ref="J96:J106"/>
    <mergeCell ref="J113:J116"/>
    <mergeCell ref="K19:K50"/>
    <mergeCell ref="K54:K57"/>
    <mergeCell ref="K96:K106"/>
    <mergeCell ref="K113:K116"/>
    <mergeCell ref="L19:L50"/>
    <mergeCell ref="L54:L57"/>
    <mergeCell ref="L96:L106"/>
    <mergeCell ref="L113:L116"/>
    <mergeCell ref="G54:H57"/>
    <mergeCell ref="G96:H106"/>
  </mergeCells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AI88"/>
  <sheetViews>
    <sheetView topLeftCell="D1" workbookViewId="0">
      <selection activeCell="P34" sqref="P34"/>
    </sheetView>
  </sheetViews>
  <sheetFormatPr defaultColWidth="9" defaultRowHeight="13.5" customHeight="1"/>
  <cols>
    <col min="1" max="1" width="11.25" style="1" customWidth="1"/>
    <col min="2" max="2" width="7.625" style="2" customWidth="1"/>
    <col min="3" max="6" width="9.625" style="3" customWidth="1"/>
    <col min="7" max="8" width="8.625" style="4" customWidth="1"/>
    <col min="9" max="9" width="20.125" style="5" customWidth="1"/>
    <col min="10" max="10" width="58.875" style="4" customWidth="1"/>
    <col min="11" max="11" width="15.125" style="4" customWidth="1"/>
    <col min="12" max="12" width="9" style="3"/>
    <col min="13" max="13" width="3.625" style="6" customWidth="1"/>
    <col min="14" max="16384" width="9" style="4"/>
  </cols>
  <sheetData>
    <row r="1" customHeight="1" spans="1:14">
      <c r="A1" s="7" t="s">
        <v>166</v>
      </c>
      <c r="B1" s="8" t="s">
        <v>27</v>
      </c>
      <c r="C1" s="9" t="s">
        <v>167</v>
      </c>
      <c r="N1" s="19" t="s">
        <v>1</v>
      </c>
    </row>
    <row r="2" customHeight="1" spans="1:14">
      <c r="A2" s="10" t="s">
        <v>2</v>
      </c>
      <c r="B2" s="11"/>
      <c r="C2" s="12" t="s">
        <v>3</v>
      </c>
      <c r="D2" s="12"/>
      <c r="E2" s="12"/>
      <c r="F2" s="12"/>
      <c r="G2" s="13" t="s">
        <v>4</v>
      </c>
      <c r="H2" s="13"/>
      <c r="I2" s="20" t="s">
        <v>5</v>
      </c>
      <c r="J2" s="13" t="s">
        <v>6</v>
      </c>
      <c r="K2" s="13" t="s">
        <v>7</v>
      </c>
      <c r="L2" s="21" t="s">
        <v>8</v>
      </c>
      <c r="N2" s="4" t="str">
        <f>TO_HTML_TABLE(A2:L2)</f>
        <v>&lt;tr&gt;&lt;td colspan="2"&gt;Offset&lt;/td&gt;&lt;td colspan="4"&gt;HEX&lt;/td&gt;&lt;td colspan="2"&gt;Type&lt;/td&gt;&lt;td&gt;Name&lt;/td&gt;&lt;td&gt;Description&lt;/td&gt;&lt;td&gt;Bound&lt;/td&gt;&lt;td&gt;ToMax&lt;/td&gt;&lt;/tr&gt;</v>
      </c>
    </row>
    <row r="3" customHeight="1" spans="1:12">
      <c r="A3" s="14" t="str">
        <f>"0x"&amp;DEC2HEX(B3,8)</f>
        <v>0x00000000</v>
      </c>
      <c r="B3" s="15">
        <f>0</f>
        <v>0</v>
      </c>
      <c r="C3" s="16" t="s">
        <v>42</v>
      </c>
      <c r="D3" s="16" t="s">
        <v>168</v>
      </c>
      <c r="E3" s="16" t="s">
        <v>23</v>
      </c>
      <c r="F3" s="16"/>
      <c r="G3" s="18" t="s">
        <v>24</v>
      </c>
      <c r="H3" s="18" t="s">
        <v>30</v>
      </c>
      <c r="I3" s="24" t="s">
        <v>169</v>
      </c>
      <c r="J3" s="18"/>
      <c r="K3" s="18"/>
      <c r="L3" s="25"/>
    </row>
    <row r="4" customHeight="1" spans="1:12">
      <c r="A4" s="66" t="str">
        <f>"0x"&amp;DEC2HEX(B4,8)</f>
        <v>0x0000000C</v>
      </c>
      <c r="B4" s="67">
        <f>SUM_HEX(C3:F3,B3,3)</f>
        <v>12</v>
      </c>
      <c r="C4" s="42" t="s">
        <v>170</v>
      </c>
      <c r="D4" s="42"/>
      <c r="E4" s="42"/>
      <c r="F4" s="42"/>
      <c r="G4" s="33" t="s">
        <v>33</v>
      </c>
      <c r="H4" s="18" t="s">
        <v>54</v>
      </c>
      <c r="I4" s="34" t="s">
        <v>171</v>
      </c>
      <c r="J4" s="18" t="s">
        <v>172</v>
      </c>
      <c r="K4" s="18"/>
      <c r="L4" s="25"/>
    </row>
    <row r="5" customHeight="1" spans="1:12">
      <c r="A5" s="68"/>
      <c r="B5" s="69"/>
      <c r="C5" s="43"/>
      <c r="D5" s="43"/>
      <c r="E5" s="43"/>
      <c r="F5" s="43"/>
      <c r="G5" s="35"/>
      <c r="H5" s="18" t="s">
        <v>57</v>
      </c>
      <c r="I5" s="36"/>
      <c r="J5" s="18"/>
      <c r="K5" s="18"/>
      <c r="L5" s="25"/>
    </row>
    <row r="6" customHeight="1" spans="1:12">
      <c r="A6" s="68"/>
      <c r="B6" s="69"/>
      <c r="C6" s="43"/>
      <c r="D6" s="43"/>
      <c r="E6" s="43"/>
      <c r="F6" s="43"/>
      <c r="G6" s="35"/>
      <c r="H6" s="18" t="s">
        <v>58</v>
      </c>
      <c r="I6" s="36"/>
      <c r="J6" s="18"/>
      <c r="K6" s="18"/>
      <c r="L6" s="25"/>
    </row>
    <row r="7" customHeight="1" spans="1:12">
      <c r="A7" s="68"/>
      <c r="B7" s="69"/>
      <c r="C7" s="43"/>
      <c r="D7" s="43"/>
      <c r="E7" s="43"/>
      <c r="F7" s="43"/>
      <c r="G7" s="35"/>
      <c r="H7" s="18" t="s">
        <v>59</v>
      </c>
      <c r="I7" s="36"/>
      <c r="J7" s="18"/>
      <c r="K7" s="18"/>
      <c r="L7" s="25"/>
    </row>
    <row r="8" customHeight="1" spans="1:12">
      <c r="A8" s="68"/>
      <c r="B8" s="69"/>
      <c r="C8" s="43"/>
      <c r="D8" s="43"/>
      <c r="E8" s="43"/>
      <c r="F8" s="43"/>
      <c r="G8" s="35"/>
      <c r="H8" s="18" t="s">
        <v>60</v>
      </c>
      <c r="I8" s="36"/>
      <c r="J8" s="18"/>
      <c r="K8" s="18"/>
      <c r="L8" s="25"/>
    </row>
    <row r="9" customHeight="1" spans="1:12">
      <c r="A9" s="68"/>
      <c r="B9" s="69"/>
      <c r="C9" s="43"/>
      <c r="D9" s="43"/>
      <c r="E9" s="43"/>
      <c r="F9" s="43"/>
      <c r="G9" s="35"/>
      <c r="H9" s="18" t="s">
        <v>61</v>
      </c>
      <c r="I9" s="36"/>
      <c r="J9" s="18"/>
      <c r="K9" s="18"/>
      <c r="L9" s="25"/>
    </row>
    <row r="10" customHeight="1" spans="1:12">
      <c r="A10" s="68"/>
      <c r="B10" s="69"/>
      <c r="C10" s="43"/>
      <c r="D10" s="43"/>
      <c r="E10" s="43"/>
      <c r="F10" s="43"/>
      <c r="G10" s="35"/>
      <c r="H10" s="18" t="s">
        <v>62</v>
      </c>
      <c r="I10" s="36"/>
      <c r="J10" s="18"/>
      <c r="K10" s="18"/>
      <c r="L10" s="25"/>
    </row>
    <row r="11" customHeight="1" spans="1:12">
      <c r="A11" s="68"/>
      <c r="B11" s="69"/>
      <c r="C11" s="43"/>
      <c r="D11" s="43"/>
      <c r="E11" s="43"/>
      <c r="F11" s="43"/>
      <c r="G11" s="35"/>
      <c r="H11" s="18" t="s">
        <v>63</v>
      </c>
      <c r="I11" s="36"/>
      <c r="J11" s="18"/>
      <c r="K11" s="18"/>
      <c r="L11" s="25"/>
    </row>
    <row r="12" customHeight="1" spans="1:12">
      <c r="A12" s="68"/>
      <c r="B12" s="69"/>
      <c r="C12" s="43"/>
      <c r="D12" s="43"/>
      <c r="E12" s="43"/>
      <c r="F12" s="43"/>
      <c r="G12" s="35"/>
      <c r="H12" s="18" t="s">
        <v>64</v>
      </c>
      <c r="I12" s="36"/>
      <c r="J12" s="18"/>
      <c r="K12" s="18"/>
      <c r="L12" s="25"/>
    </row>
    <row r="13" customHeight="1" spans="1:12">
      <c r="A13" s="70"/>
      <c r="B13" s="71"/>
      <c r="C13" s="44"/>
      <c r="D13" s="44"/>
      <c r="E13" s="44"/>
      <c r="F13" s="44"/>
      <c r="G13" s="35"/>
      <c r="H13" s="18" t="s">
        <v>65</v>
      </c>
      <c r="I13" s="36"/>
      <c r="J13" s="18" t="s">
        <v>173</v>
      </c>
      <c r="K13" s="18"/>
      <c r="L13" s="25"/>
    </row>
    <row r="14" customHeight="1" spans="1:12">
      <c r="A14" s="66" t="str">
        <f>"0x"&amp;DEC2HEX(B14,8)</f>
        <v>0x00000010</v>
      </c>
      <c r="B14" s="67">
        <f>SUM_HEX(C4:F13,B4,3)</f>
        <v>16</v>
      </c>
      <c r="C14" s="42" t="s">
        <v>174</v>
      </c>
      <c r="D14" s="42"/>
      <c r="E14" s="42"/>
      <c r="F14" s="42"/>
      <c r="G14" s="33" t="s">
        <v>33</v>
      </c>
      <c r="H14" s="18" t="s">
        <v>54</v>
      </c>
      <c r="I14" s="34" t="s">
        <v>175</v>
      </c>
      <c r="J14" s="24" t="s">
        <v>176</v>
      </c>
      <c r="K14" s="18"/>
      <c r="L14" s="25"/>
    </row>
    <row r="15" customHeight="1" spans="1:12">
      <c r="A15" s="68"/>
      <c r="B15" s="69"/>
      <c r="C15" s="43"/>
      <c r="D15" s="43"/>
      <c r="E15" s="43"/>
      <c r="F15" s="43"/>
      <c r="G15" s="35"/>
      <c r="H15" s="18" t="s">
        <v>57</v>
      </c>
      <c r="I15" s="36"/>
      <c r="J15" s="24" t="s">
        <v>177</v>
      </c>
      <c r="K15" s="18"/>
      <c r="L15" s="25"/>
    </row>
    <row r="16" customHeight="1" spans="1:12">
      <c r="A16" s="68"/>
      <c r="B16" s="69"/>
      <c r="C16" s="43"/>
      <c r="D16" s="43"/>
      <c r="E16" s="43"/>
      <c r="F16" s="43"/>
      <c r="G16" s="35"/>
      <c r="H16" s="18" t="s">
        <v>58</v>
      </c>
      <c r="I16" s="36"/>
      <c r="J16" s="24" t="s">
        <v>178</v>
      </c>
      <c r="K16" s="18"/>
      <c r="L16" s="25"/>
    </row>
    <row r="17" customHeight="1" spans="1:12">
      <c r="A17" s="68"/>
      <c r="B17" s="69"/>
      <c r="C17" s="43"/>
      <c r="D17" s="43"/>
      <c r="E17" s="43"/>
      <c r="F17" s="43"/>
      <c r="G17" s="35"/>
      <c r="H17" s="18" t="s">
        <v>59</v>
      </c>
      <c r="I17" s="36"/>
      <c r="J17" s="24" t="s">
        <v>179</v>
      </c>
      <c r="K17" s="18"/>
      <c r="L17" s="25"/>
    </row>
    <row r="18" customHeight="1" spans="1:12">
      <c r="A18" s="68"/>
      <c r="B18" s="69"/>
      <c r="C18" s="43"/>
      <c r="D18" s="43"/>
      <c r="E18" s="43"/>
      <c r="F18" s="43"/>
      <c r="G18" s="35"/>
      <c r="H18" s="18" t="s">
        <v>60</v>
      </c>
      <c r="I18" s="36"/>
      <c r="J18" s="24" t="s">
        <v>180</v>
      </c>
      <c r="K18" s="18"/>
      <c r="L18" s="25"/>
    </row>
    <row r="19" customHeight="1" spans="1:12">
      <c r="A19" s="68"/>
      <c r="B19" s="69"/>
      <c r="C19" s="43"/>
      <c r="D19" s="43"/>
      <c r="E19" s="43"/>
      <c r="F19" s="43"/>
      <c r="G19" s="35"/>
      <c r="H19" s="18" t="s">
        <v>61</v>
      </c>
      <c r="I19" s="36"/>
      <c r="J19" s="24" t="s">
        <v>181</v>
      </c>
      <c r="K19" s="18"/>
      <c r="L19" s="25" t="s">
        <v>182</v>
      </c>
    </row>
    <row r="20" customHeight="1" spans="1:12">
      <c r="A20" s="68"/>
      <c r="B20" s="69"/>
      <c r="C20" s="43"/>
      <c r="D20" s="43"/>
      <c r="E20" s="43"/>
      <c r="F20" s="43"/>
      <c r="G20" s="35"/>
      <c r="H20" s="18" t="s">
        <v>62</v>
      </c>
      <c r="I20" s="36"/>
      <c r="J20" s="24" t="s">
        <v>144</v>
      </c>
      <c r="K20" s="18"/>
      <c r="L20" s="25" t="s">
        <v>182</v>
      </c>
    </row>
    <row r="21" customHeight="1" spans="1:12">
      <c r="A21" s="68"/>
      <c r="B21" s="69"/>
      <c r="C21" s="43"/>
      <c r="D21" s="43"/>
      <c r="E21" s="43"/>
      <c r="F21" s="43"/>
      <c r="G21" s="35"/>
      <c r="H21" s="18" t="s">
        <v>63</v>
      </c>
      <c r="I21" s="36"/>
      <c r="J21" s="24" t="s">
        <v>183</v>
      </c>
      <c r="K21" s="18"/>
      <c r="L21" s="25" t="s">
        <v>182</v>
      </c>
    </row>
    <row r="22" customHeight="1" spans="1:12">
      <c r="A22" s="68"/>
      <c r="B22" s="69"/>
      <c r="C22" s="43"/>
      <c r="D22" s="43"/>
      <c r="E22" s="43"/>
      <c r="F22" s="43"/>
      <c r="G22" s="35"/>
      <c r="H22" s="18" t="s">
        <v>64</v>
      </c>
      <c r="I22" s="36"/>
      <c r="J22" s="24" t="s">
        <v>184</v>
      </c>
      <c r="K22" s="18"/>
      <c r="L22" s="25"/>
    </row>
    <row r="23" customHeight="1" spans="1:12">
      <c r="A23" s="68"/>
      <c r="B23" s="69"/>
      <c r="C23" s="43"/>
      <c r="D23" s="43"/>
      <c r="E23" s="43"/>
      <c r="F23" s="43"/>
      <c r="G23" s="35"/>
      <c r="H23" s="18" t="s">
        <v>65</v>
      </c>
      <c r="I23" s="36"/>
      <c r="J23" s="24"/>
      <c r="K23" s="18"/>
      <c r="L23" s="25"/>
    </row>
    <row r="24" customHeight="1" spans="1:12">
      <c r="A24" s="68"/>
      <c r="B24" s="69"/>
      <c r="C24" s="43"/>
      <c r="D24" s="43"/>
      <c r="E24" s="43"/>
      <c r="F24" s="43"/>
      <c r="G24" s="35"/>
      <c r="H24" s="18" t="s">
        <v>66</v>
      </c>
      <c r="I24" s="36"/>
      <c r="J24" s="34"/>
      <c r="K24" s="18"/>
      <c r="L24" s="25"/>
    </row>
    <row r="25" customHeight="1" spans="1:12">
      <c r="A25" s="68"/>
      <c r="B25" s="69"/>
      <c r="C25" s="43"/>
      <c r="D25" s="43"/>
      <c r="E25" s="43"/>
      <c r="F25" s="43"/>
      <c r="G25" s="35"/>
      <c r="H25" s="18" t="s">
        <v>67</v>
      </c>
      <c r="I25" s="36"/>
      <c r="J25" s="34" t="s">
        <v>185</v>
      </c>
      <c r="K25" s="18"/>
      <c r="L25" s="25"/>
    </row>
    <row r="26" customHeight="1" spans="1:12">
      <c r="A26" s="68"/>
      <c r="B26" s="69"/>
      <c r="C26" s="43"/>
      <c r="D26" s="43"/>
      <c r="E26" s="43"/>
      <c r="F26" s="43"/>
      <c r="G26" s="35"/>
      <c r="H26" s="18" t="s">
        <v>68</v>
      </c>
      <c r="I26" s="36"/>
      <c r="J26" s="34" t="s">
        <v>186</v>
      </c>
      <c r="K26" s="18"/>
      <c r="L26" s="25"/>
    </row>
    <row r="27" customHeight="1" spans="1:12">
      <c r="A27" s="68"/>
      <c r="B27" s="69"/>
      <c r="C27" s="43"/>
      <c r="D27" s="43"/>
      <c r="E27" s="43"/>
      <c r="F27" s="43"/>
      <c r="G27" s="35"/>
      <c r="H27" s="18" t="s">
        <v>69</v>
      </c>
      <c r="I27" s="36"/>
      <c r="J27" s="34" t="s">
        <v>187</v>
      </c>
      <c r="K27" s="18"/>
      <c r="L27" s="25"/>
    </row>
    <row r="28" customHeight="1" spans="1:12">
      <c r="A28" s="68"/>
      <c r="B28" s="69"/>
      <c r="C28" s="43"/>
      <c r="D28" s="43"/>
      <c r="E28" s="43"/>
      <c r="F28" s="43"/>
      <c r="G28" s="35"/>
      <c r="H28" s="18" t="s">
        <v>70</v>
      </c>
      <c r="I28" s="36"/>
      <c r="J28" s="34" t="s">
        <v>173</v>
      </c>
      <c r="K28" s="18"/>
      <c r="L28" s="25"/>
    </row>
    <row r="29" customHeight="1" spans="1:12">
      <c r="A29" s="68"/>
      <c r="B29" s="69"/>
      <c r="C29" s="43"/>
      <c r="D29" s="43"/>
      <c r="E29" s="43"/>
      <c r="F29" s="43"/>
      <c r="G29" s="35"/>
      <c r="H29" s="18" t="s">
        <v>71</v>
      </c>
      <c r="I29" s="36"/>
      <c r="J29" s="34" t="s">
        <v>188</v>
      </c>
      <c r="K29" s="18"/>
      <c r="L29" s="25"/>
    </row>
    <row r="30" customHeight="1" spans="1:12">
      <c r="A30" s="68"/>
      <c r="B30" s="69"/>
      <c r="C30" s="43"/>
      <c r="D30" s="43"/>
      <c r="E30" s="43"/>
      <c r="F30" s="43"/>
      <c r="G30" s="35"/>
      <c r="H30" s="18" t="s">
        <v>72</v>
      </c>
      <c r="I30" s="36"/>
      <c r="J30" s="34" t="s">
        <v>189</v>
      </c>
      <c r="K30" s="18"/>
      <c r="L30" s="25"/>
    </row>
    <row r="31" customHeight="1" spans="1:12">
      <c r="A31" s="68"/>
      <c r="B31" s="69"/>
      <c r="C31" s="43"/>
      <c r="D31" s="43"/>
      <c r="E31" s="43"/>
      <c r="F31" s="43"/>
      <c r="G31" s="35"/>
      <c r="H31" s="18" t="s">
        <v>73</v>
      </c>
      <c r="I31" s="36"/>
      <c r="J31" s="34" t="s">
        <v>190</v>
      </c>
      <c r="K31" s="18"/>
      <c r="L31" s="25"/>
    </row>
    <row r="32" customHeight="1" spans="1:12">
      <c r="A32" s="68"/>
      <c r="B32" s="69"/>
      <c r="C32" s="43"/>
      <c r="D32" s="43"/>
      <c r="E32" s="43"/>
      <c r="F32" s="43"/>
      <c r="G32" s="35"/>
      <c r="H32" s="18" t="s">
        <v>74</v>
      </c>
      <c r="I32" s="36"/>
      <c r="J32" s="34" t="s">
        <v>191</v>
      </c>
      <c r="K32" s="18"/>
      <c r="L32" s="25"/>
    </row>
    <row r="33" customHeight="1" spans="1:12">
      <c r="A33" s="68"/>
      <c r="B33" s="69"/>
      <c r="C33" s="43"/>
      <c r="D33" s="43"/>
      <c r="E33" s="43"/>
      <c r="F33" s="43"/>
      <c r="G33" s="35"/>
      <c r="H33" s="18" t="s">
        <v>75</v>
      </c>
      <c r="I33" s="36"/>
      <c r="J33" s="34" t="s">
        <v>192</v>
      </c>
      <c r="K33" s="18"/>
      <c r="L33" s="25"/>
    </row>
    <row r="34" customHeight="1" spans="1:12">
      <c r="A34" s="68"/>
      <c r="B34" s="69"/>
      <c r="C34" s="43"/>
      <c r="D34" s="43"/>
      <c r="E34" s="43"/>
      <c r="F34" s="43"/>
      <c r="G34" s="35"/>
      <c r="H34" s="18" t="s">
        <v>76</v>
      </c>
      <c r="I34" s="36"/>
      <c r="J34" s="34" t="s">
        <v>193</v>
      </c>
      <c r="K34" s="18"/>
      <c r="L34" s="25"/>
    </row>
    <row r="35" customHeight="1" spans="1:12">
      <c r="A35" s="68"/>
      <c r="B35" s="69"/>
      <c r="C35" s="43"/>
      <c r="D35" s="43"/>
      <c r="E35" s="43"/>
      <c r="F35" s="43"/>
      <c r="G35" s="35"/>
      <c r="H35" s="18" t="s">
        <v>77</v>
      </c>
      <c r="I35" s="36"/>
      <c r="J35" s="34" t="s">
        <v>194</v>
      </c>
      <c r="K35" s="18"/>
      <c r="L35" s="25"/>
    </row>
    <row r="36" customHeight="1" spans="1:12">
      <c r="A36" s="68"/>
      <c r="B36" s="69"/>
      <c r="C36" s="43"/>
      <c r="D36" s="43"/>
      <c r="E36" s="43"/>
      <c r="F36" s="43"/>
      <c r="G36" s="35"/>
      <c r="H36" s="18" t="s">
        <v>78</v>
      </c>
      <c r="I36" s="36"/>
      <c r="J36" s="34" t="s">
        <v>195</v>
      </c>
      <c r="K36" s="18"/>
      <c r="L36" s="25"/>
    </row>
    <row r="37" customHeight="1" spans="1:12">
      <c r="A37" s="68"/>
      <c r="B37" s="69"/>
      <c r="C37" s="43"/>
      <c r="D37" s="43"/>
      <c r="E37" s="43"/>
      <c r="F37" s="43"/>
      <c r="G37" s="35"/>
      <c r="H37" s="18" t="s">
        <v>79</v>
      </c>
      <c r="I37" s="36"/>
      <c r="J37" s="34" t="s">
        <v>196</v>
      </c>
      <c r="K37" s="18"/>
      <c r="L37" s="25"/>
    </row>
    <row r="38" customHeight="1" spans="1:12">
      <c r="A38" s="68"/>
      <c r="B38" s="69"/>
      <c r="C38" s="43"/>
      <c r="D38" s="43"/>
      <c r="E38" s="43"/>
      <c r="F38" s="43"/>
      <c r="G38" s="35"/>
      <c r="H38" s="18" t="s">
        <v>80</v>
      </c>
      <c r="I38" s="36"/>
      <c r="J38" s="34" t="s">
        <v>197</v>
      </c>
      <c r="K38" s="18"/>
      <c r="L38" s="25"/>
    </row>
    <row r="39" customHeight="1" spans="1:12">
      <c r="A39" s="68"/>
      <c r="B39" s="69"/>
      <c r="C39" s="43"/>
      <c r="D39" s="43"/>
      <c r="E39" s="43"/>
      <c r="F39" s="43"/>
      <c r="G39" s="35"/>
      <c r="H39" s="18" t="s">
        <v>81</v>
      </c>
      <c r="I39" s="36"/>
      <c r="J39" s="34" t="s">
        <v>198</v>
      </c>
      <c r="K39" s="18"/>
      <c r="L39" s="25"/>
    </row>
    <row r="40" customHeight="1" spans="1:12">
      <c r="A40" s="68"/>
      <c r="B40" s="69"/>
      <c r="C40" s="43"/>
      <c r="D40" s="43"/>
      <c r="E40" s="43"/>
      <c r="F40" s="43"/>
      <c r="G40" s="35"/>
      <c r="H40" s="18" t="s">
        <v>82</v>
      </c>
      <c r="I40" s="36"/>
      <c r="J40" s="34" t="s">
        <v>199</v>
      </c>
      <c r="K40" s="18"/>
      <c r="L40" s="25"/>
    </row>
    <row r="41" customHeight="1" spans="1:12">
      <c r="A41" s="68"/>
      <c r="B41" s="69"/>
      <c r="C41" s="43"/>
      <c r="D41" s="43"/>
      <c r="E41" s="43"/>
      <c r="F41" s="43"/>
      <c r="G41" s="35"/>
      <c r="H41" s="18" t="s">
        <v>83</v>
      </c>
      <c r="I41" s="36"/>
      <c r="J41" s="34" t="s">
        <v>200</v>
      </c>
      <c r="K41" s="18"/>
      <c r="L41" s="25"/>
    </row>
    <row r="42" customHeight="1" spans="1:12">
      <c r="A42" s="68"/>
      <c r="B42" s="69"/>
      <c r="C42" s="43"/>
      <c r="D42" s="43"/>
      <c r="E42" s="43"/>
      <c r="F42" s="43"/>
      <c r="G42" s="35"/>
      <c r="H42" s="18" t="s">
        <v>84</v>
      </c>
      <c r="I42" s="36"/>
      <c r="J42" s="34" t="s">
        <v>201</v>
      </c>
      <c r="K42" s="18"/>
      <c r="L42" s="25"/>
    </row>
    <row r="43" customHeight="1" spans="1:12">
      <c r="A43" s="68"/>
      <c r="B43" s="69"/>
      <c r="C43" s="43"/>
      <c r="D43" s="43"/>
      <c r="E43" s="43"/>
      <c r="F43" s="43"/>
      <c r="G43" s="35"/>
      <c r="H43" s="18" t="s">
        <v>85</v>
      </c>
      <c r="I43" s="36"/>
      <c r="J43" s="34" t="s">
        <v>202</v>
      </c>
      <c r="K43" s="18"/>
      <c r="L43" s="25"/>
    </row>
    <row r="44" customHeight="1" spans="1:12">
      <c r="A44" s="68"/>
      <c r="B44" s="69"/>
      <c r="C44" s="43"/>
      <c r="D44" s="43"/>
      <c r="E44" s="43"/>
      <c r="F44" s="43"/>
      <c r="G44" s="35"/>
      <c r="H44" s="18" t="s">
        <v>86</v>
      </c>
      <c r="I44" s="36"/>
      <c r="J44" s="34" t="s">
        <v>203</v>
      </c>
      <c r="K44" s="18"/>
      <c r="L44" s="25"/>
    </row>
    <row r="45" customHeight="1" spans="1:12">
      <c r="A45" s="68"/>
      <c r="B45" s="69"/>
      <c r="C45" s="43"/>
      <c r="D45" s="43"/>
      <c r="E45" s="43"/>
      <c r="F45" s="43"/>
      <c r="G45" s="35"/>
      <c r="H45" s="18" t="s">
        <v>87</v>
      </c>
      <c r="I45" s="36"/>
      <c r="J45" s="34" t="s">
        <v>204</v>
      </c>
      <c r="K45" s="18"/>
      <c r="L45" s="25"/>
    </row>
    <row r="46" customHeight="1" spans="1:12">
      <c r="A46" s="66" t="str">
        <f>"0x"&amp;DEC2HEX(B46,8)</f>
        <v>0x00000014</v>
      </c>
      <c r="B46" s="67">
        <f>SUM_HEX(C14:F14,B14,3)</f>
        <v>20</v>
      </c>
      <c r="C46" s="42" t="s">
        <v>23</v>
      </c>
      <c r="D46" s="42"/>
      <c r="E46" s="42"/>
      <c r="F46" s="42"/>
      <c r="G46" s="72" t="s">
        <v>15</v>
      </c>
      <c r="H46" s="33"/>
      <c r="I46" s="34" t="s">
        <v>205</v>
      </c>
      <c r="J46" s="34"/>
      <c r="K46" s="34" t="s">
        <v>206</v>
      </c>
      <c r="L46" s="39" t="s">
        <v>207</v>
      </c>
    </row>
    <row r="47" customHeight="1" spans="1:12">
      <c r="A47" s="14" t="str">
        <f t="shared" ref="A47:A66" si="0">"0x"&amp;DEC2HEX(B47,8)</f>
        <v>0x00000018</v>
      </c>
      <c r="B47" s="15">
        <f>SUM_HEX(C46:F46,B46,3)</f>
        <v>24</v>
      </c>
      <c r="C47" s="16" t="s">
        <v>23</v>
      </c>
      <c r="D47" s="16"/>
      <c r="E47" s="16"/>
      <c r="F47" s="16"/>
      <c r="G47" s="18" t="s">
        <v>15</v>
      </c>
      <c r="H47" s="18"/>
      <c r="I47" s="24" t="s">
        <v>208</v>
      </c>
      <c r="J47" s="24"/>
      <c r="K47" s="18" t="s">
        <v>209</v>
      </c>
      <c r="L47" s="25"/>
    </row>
    <row r="48" customHeight="1" spans="1:12">
      <c r="A48" s="14" t="str">
        <f t="shared" si="0"/>
        <v>0x0000001C</v>
      </c>
      <c r="B48" s="15">
        <f>SUM_HEX(C47:F47,B47,3)</f>
        <v>28</v>
      </c>
      <c r="C48" s="16" t="s">
        <v>23</v>
      </c>
      <c r="D48" s="16"/>
      <c r="E48" s="16"/>
      <c r="F48" s="16"/>
      <c r="G48" s="18" t="s">
        <v>15</v>
      </c>
      <c r="H48" s="18"/>
      <c r="I48" s="24" t="s">
        <v>210</v>
      </c>
      <c r="J48" s="24"/>
      <c r="K48" s="18"/>
      <c r="L48" s="25"/>
    </row>
    <row r="49" customHeight="1" spans="1:12">
      <c r="A49" s="14" t="str">
        <f t="shared" si="0"/>
        <v>0x00000020</v>
      </c>
      <c r="B49" s="15">
        <f>SUM_HEX(C48:F48,B48,3)</f>
        <v>32</v>
      </c>
      <c r="C49" s="16" t="s">
        <v>211</v>
      </c>
      <c r="D49" s="16"/>
      <c r="E49" s="16"/>
      <c r="F49" s="16"/>
      <c r="G49" s="18" t="s">
        <v>212</v>
      </c>
      <c r="H49" s="18"/>
      <c r="I49" s="24" t="s">
        <v>213</v>
      </c>
      <c r="J49" s="24"/>
      <c r="K49" s="18" t="s">
        <v>214</v>
      </c>
      <c r="L49" s="25"/>
    </row>
    <row r="50" customHeight="1" spans="1:12">
      <c r="A50" s="14" t="str">
        <f t="shared" si="0"/>
        <v>0x00000024</v>
      </c>
      <c r="B50" s="15">
        <f>SUM_HEX(C49:F49,B49,3)</f>
        <v>36</v>
      </c>
      <c r="C50" s="16" t="s">
        <v>23</v>
      </c>
      <c r="D50" s="16"/>
      <c r="E50" s="16"/>
      <c r="F50" s="16"/>
      <c r="G50" s="18" t="s">
        <v>212</v>
      </c>
      <c r="H50" s="18"/>
      <c r="I50" s="24" t="s">
        <v>215</v>
      </c>
      <c r="J50" s="24"/>
      <c r="K50" s="18" t="s">
        <v>216</v>
      </c>
      <c r="L50" s="25"/>
    </row>
    <row r="51" customHeight="1" spans="1:12">
      <c r="A51" s="14" t="str">
        <f t="shared" si="0"/>
        <v>0x00000028</v>
      </c>
      <c r="B51" s="15">
        <f>SUM_HEX(C50:F50,B50,3)</f>
        <v>40</v>
      </c>
      <c r="C51" s="16" t="s">
        <v>23</v>
      </c>
      <c r="D51" s="16"/>
      <c r="E51" s="16"/>
      <c r="F51" s="16"/>
      <c r="G51" s="18" t="s">
        <v>15</v>
      </c>
      <c r="H51" s="18"/>
      <c r="I51" s="24" t="s">
        <v>217</v>
      </c>
      <c r="J51" s="18"/>
      <c r="K51" s="18" t="s">
        <v>216</v>
      </c>
      <c r="L51" s="25"/>
    </row>
    <row r="52" customHeight="1" spans="1:12">
      <c r="A52" s="14" t="str">
        <f t="shared" si="0"/>
        <v>0x0000002C</v>
      </c>
      <c r="B52" s="15">
        <f>SUM_HEX(C51:F51,B51,3)</f>
        <v>44</v>
      </c>
      <c r="C52" s="16" t="s">
        <v>148</v>
      </c>
      <c r="D52" s="16"/>
      <c r="E52" s="16"/>
      <c r="F52" s="16"/>
      <c r="G52" s="18" t="s">
        <v>212</v>
      </c>
      <c r="H52" s="18"/>
      <c r="I52" s="24" t="s">
        <v>218</v>
      </c>
      <c r="J52" s="18"/>
      <c r="K52" s="18" t="s">
        <v>219</v>
      </c>
      <c r="L52" s="25"/>
    </row>
    <row r="53" customHeight="1" spans="1:12">
      <c r="A53" s="14" t="str">
        <f t="shared" si="0"/>
        <v>0x00000030</v>
      </c>
      <c r="B53" s="15">
        <f>SUM_HEX(C52:F52,B52,3)</f>
        <v>48</v>
      </c>
      <c r="C53" s="16" t="s">
        <v>148</v>
      </c>
      <c r="D53" s="16"/>
      <c r="E53" s="16"/>
      <c r="F53" s="45"/>
      <c r="G53" s="18" t="s">
        <v>212</v>
      </c>
      <c r="H53" s="18"/>
      <c r="I53" s="24" t="s">
        <v>220</v>
      </c>
      <c r="J53" s="18"/>
      <c r="K53" s="18" t="s">
        <v>219</v>
      </c>
      <c r="L53" s="25"/>
    </row>
    <row r="54" customHeight="1" spans="1:12">
      <c r="A54" s="14" t="str">
        <f t="shared" si="0"/>
        <v>0x00000034</v>
      </c>
      <c r="B54" s="15">
        <f>SUM_HEX(C53:F53,B53,3)</f>
        <v>52</v>
      </c>
      <c r="C54" s="26" t="s">
        <v>148</v>
      </c>
      <c r="D54" s="16"/>
      <c r="E54" s="16"/>
      <c r="F54" s="45"/>
      <c r="G54" s="18" t="s">
        <v>212</v>
      </c>
      <c r="H54" s="18"/>
      <c r="I54" s="24" t="s">
        <v>221</v>
      </c>
      <c r="J54" s="18"/>
      <c r="K54" s="18" t="s">
        <v>222</v>
      </c>
      <c r="L54" s="25"/>
    </row>
    <row r="55" customHeight="1" spans="1:12">
      <c r="A55" s="14" t="str">
        <f t="shared" si="0"/>
        <v>0x00000038</v>
      </c>
      <c r="B55" s="15">
        <f>SUM_HEX(C54:F54,B54,3)</f>
        <v>56</v>
      </c>
      <c r="C55" s="16" t="s">
        <v>23</v>
      </c>
      <c r="D55" s="16"/>
      <c r="E55" s="16"/>
      <c r="F55" s="45"/>
      <c r="G55" s="18" t="s">
        <v>212</v>
      </c>
      <c r="H55" s="18"/>
      <c r="I55" s="24" t="s">
        <v>223</v>
      </c>
      <c r="J55" s="18"/>
      <c r="K55" s="18" t="s">
        <v>222</v>
      </c>
      <c r="L55" s="25"/>
    </row>
    <row r="56" customHeight="1" spans="1:12">
      <c r="A56" s="14" t="str">
        <f t="shared" si="0"/>
        <v>0x0000003C</v>
      </c>
      <c r="B56" s="15">
        <f>SUM_HEX(C55:F55,B55,3)</f>
        <v>60</v>
      </c>
      <c r="C56" s="16" t="s">
        <v>23</v>
      </c>
      <c r="D56" s="16"/>
      <c r="E56" s="16"/>
      <c r="F56" s="45"/>
      <c r="G56" s="18" t="s">
        <v>212</v>
      </c>
      <c r="H56" s="18"/>
      <c r="I56" s="24" t="s">
        <v>224</v>
      </c>
      <c r="J56" s="18"/>
      <c r="K56" s="18" t="s">
        <v>222</v>
      </c>
      <c r="L56" s="25"/>
    </row>
    <row r="57" customHeight="1" spans="1:12">
      <c r="A57" s="14" t="str">
        <f t="shared" si="0"/>
        <v>0x00000040</v>
      </c>
      <c r="B57" s="15">
        <f>SUM_HEX(C56:F56,B56,3)</f>
        <v>64</v>
      </c>
      <c r="C57" s="16" t="s">
        <v>22</v>
      </c>
      <c r="D57" s="16" t="s">
        <v>225</v>
      </c>
      <c r="E57" s="16" t="s">
        <v>23</v>
      </c>
      <c r="F57" s="45"/>
      <c r="G57" s="18" t="s">
        <v>24</v>
      </c>
      <c r="H57" s="18" t="s">
        <v>226</v>
      </c>
      <c r="I57" s="24" t="s">
        <v>227</v>
      </c>
      <c r="J57" s="18"/>
      <c r="K57" s="18"/>
      <c r="L57" s="25"/>
    </row>
    <row r="58" customHeight="1" spans="1:12">
      <c r="A58" s="14" t="str">
        <f t="shared" si="0"/>
        <v>0x0000004C</v>
      </c>
      <c r="B58" s="15">
        <f>SUM_HEX(C57:F57,B57,3)</f>
        <v>76</v>
      </c>
      <c r="C58" s="16" t="s">
        <v>22</v>
      </c>
      <c r="D58" s="16" t="s">
        <v>228</v>
      </c>
      <c r="E58" s="16" t="s">
        <v>23</v>
      </c>
      <c r="F58" s="45"/>
      <c r="G58" s="18" t="s">
        <v>24</v>
      </c>
      <c r="H58" s="18" t="s">
        <v>226</v>
      </c>
      <c r="I58" s="24" t="s">
        <v>229</v>
      </c>
      <c r="J58" s="18"/>
      <c r="K58" s="18"/>
      <c r="L58" s="25"/>
    </row>
    <row r="59" customHeight="1" spans="1:12">
      <c r="A59" s="14" t="str">
        <f t="shared" si="0"/>
        <v>0x00000058</v>
      </c>
      <c r="B59" s="15">
        <f>SUM_HEX(C58:F58,B58,3)</f>
        <v>88</v>
      </c>
      <c r="C59" s="16" t="s">
        <v>22</v>
      </c>
      <c r="D59" s="16" t="s">
        <v>230</v>
      </c>
      <c r="E59" s="16" t="s">
        <v>23</v>
      </c>
      <c r="F59" s="45"/>
      <c r="G59" s="18" t="s">
        <v>24</v>
      </c>
      <c r="H59" s="18" t="s">
        <v>226</v>
      </c>
      <c r="I59" s="24" t="s">
        <v>231</v>
      </c>
      <c r="J59" s="18"/>
      <c r="K59" s="18"/>
      <c r="L59" s="25"/>
    </row>
    <row r="60" customHeight="1" spans="1:12">
      <c r="A60" s="14" t="str">
        <f t="shared" si="0"/>
        <v>0x00000064</v>
      </c>
      <c r="B60" s="15">
        <f>SUM_HEX(C59:F59,B59,3)</f>
        <v>100</v>
      </c>
      <c r="C60" s="16" t="s">
        <v>22</v>
      </c>
      <c r="D60" s="16" t="s">
        <v>232</v>
      </c>
      <c r="E60" s="16" t="s">
        <v>23</v>
      </c>
      <c r="F60" s="45"/>
      <c r="G60" s="18" t="s">
        <v>24</v>
      </c>
      <c r="H60" s="18" t="s">
        <v>226</v>
      </c>
      <c r="I60" s="24" t="s">
        <v>233</v>
      </c>
      <c r="J60" s="18"/>
      <c r="K60" s="18"/>
      <c r="L60" s="25"/>
    </row>
    <row r="61" customHeight="1" spans="1:12">
      <c r="A61" s="14" t="str">
        <f t="shared" si="0"/>
        <v>0x00000070</v>
      </c>
      <c r="B61" s="15">
        <f>SUM_HEX(C60:F60,B60,3)</f>
        <v>112</v>
      </c>
      <c r="C61" s="16" t="s">
        <v>22</v>
      </c>
      <c r="D61" s="16" t="s">
        <v>234</v>
      </c>
      <c r="E61" s="16" t="s">
        <v>23</v>
      </c>
      <c r="F61" s="45"/>
      <c r="G61" s="18" t="s">
        <v>24</v>
      </c>
      <c r="H61" s="18" t="s">
        <v>226</v>
      </c>
      <c r="I61" s="24" t="s">
        <v>235</v>
      </c>
      <c r="J61" s="18"/>
      <c r="K61" s="18"/>
      <c r="L61" s="25"/>
    </row>
    <row r="62" customHeight="1" spans="1:12">
      <c r="A62" s="14" t="str">
        <f t="shared" si="0"/>
        <v>0x0000007C</v>
      </c>
      <c r="B62" s="15">
        <f>SUM_HEX(C61:F61,B61,3)</f>
        <v>124</v>
      </c>
      <c r="C62" s="16" t="s">
        <v>22</v>
      </c>
      <c r="D62" s="16" t="s">
        <v>236</v>
      </c>
      <c r="E62" s="16" t="s">
        <v>23</v>
      </c>
      <c r="F62" s="16"/>
      <c r="G62" s="18" t="s">
        <v>24</v>
      </c>
      <c r="H62" s="18" t="s">
        <v>226</v>
      </c>
      <c r="I62" s="24" t="s">
        <v>237</v>
      </c>
      <c r="J62" s="18"/>
      <c r="K62" s="18"/>
      <c r="L62" s="25"/>
    </row>
    <row r="63" customHeight="1" spans="1:12">
      <c r="A63" s="14" t="str">
        <f t="shared" si="0"/>
        <v>0x00000088</v>
      </c>
      <c r="B63" s="15">
        <f>SUM_HEX(C62:F62,B62,3)</f>
        <v>136</v>
      </c>
      <c r="C63" s="16" t="s">
        <v>22</v>
      </c>
      <c r="D63" s="16" t="s">
        <v>238</v>
      </c>
      <c r="E63" s="16" t="s">
        <v>23</v>
      </c>
      <c r="F63" s="16"/>
      <c r="G63" s="18" t="s">
        <v>24</v>
      </c>
      <c r="H63" s="18" t="s">
        <v>226</v>
      </c>
      <c r="I63" s="24" t="s">
        <v>239</v>
      </c>
      <c r="J63" s="18"/>
      <c r="K63" s="18"/>
      <c r="L63" s="25"/>
    </row>
    <row r="64" customHeight="1" spans="1:12">
      <c r="A64" s="14" t="str">
        <f t="shared" si="0"/>
        <v>0x00000094</v>
      </c>
      <c r="B64" s="15">
        <f>SUM_HEX(C63:F63,B63,3)</f>
        <v>148</v>
      </c>
      <c r="C64" s="16" t="s">
        <v>22</v>
      </c>
      <c r="D64" s="16" t="s">
        <v>240</v>
      </c>
      <c r="E64" s="16" t="s">
        <v>23</v>
      </c>
      <c r="F64" s="16"/>
      <c r="G64" s="18" t="s">
        <v>24</v>
      </c>
      <c r="H64" s="18" t="s">
        <v>226</v>
      </c>
      <c r="I64" s="24" t="s">
        <v>241</v>
      </c>
      <c r="J64" s="18"/>
      <c r="K64" s="18"/>
      <c r="L64" s="25"/>
    </row>
    <row r="65" customHeight="1" spans="1:12">
      <c r="A65" s="14" t="str">
        <f t="shared" si="0"/>
        <v>0x000000A0</v>
      </c>
      <c r="B65" s="15">
        <f>SUM_HEX(C64:F64,B64,3)</f>
        <v>160</v>
      </c>
      <c r="C65" s="16" t="s">
        <v>22</v>
      </c>
      <c r="D65" s="16" t="s">
        <v>242</v>
      </c>
      <c r="E65" s="16" t="s">
        <v>23</v>
      </c>
      <c r="F65" s="16"/>
      <c r="G65" s="18" t="s">
        <v>24</v>
      </c>
      <c r="H65" s="18" t="s">
        <v>226</v>
      </c>
      <c r="I65" s="24" t="s">
        <v>243</v>
      </c>
      <c r="J65" s="18"/>
      <c r="K65" s="18"/>
      <c r="L65" s="25"/>
    </row>
    <row r="66" customHeight="1" spans="1:12">
      <c r="A66" s="14" t="str">
        <f t="shared" si="0"/>
        <v>0x000000AC</v>
      </c>
      <c r="B66" s="15">
        <f>SUM_HEX(C65:F65,B65,3)</f>
        <v>172</v>
      </c>
      <c r="C66" s="16" t="s">
        <v>22</v>
      </c>
      <c r="D66" s="16" t="s">
        <v>244</v>
      </c>
      <c r="E66" s="16" t="s">
        <v>23</v>
      </c>
      <c r="F66" s="16"/>
      <c r="G66" s="18" t="s">
        <v>24</v>
      </c>
      <c r="H66" s="18" t="s">
        <v>226</v>
      </c>
      <c r="I66" s="24" t="s">
        <v>245</v>
      </c>
      <c r="J66" s="18"/>
      <c r="K66" s="18"/>
      <c r="L66" s="25"/>
    </row>
    <row r="67" customHeight="1" spans="1:12">
      <c r="A67" s="14" t="str">
        <f t="shared" ref="A51:A88" si="1">"0x"&amp;DEC2HEX(B67,8)</f>
        <v>0x000000B8</v>
      </c>
      <c r="B67" s="15">
        <f>SUM_HEX(C66:F66,B66,3)</f>
        <v>184</v>
      </c>
      <c r="C67" s="16" t="s">
        <v>22</v>
      </c>
      <c r="D67" s="16" t="s">
        <v>246</v>
      </c>
      <c r="E67" s="16" t="s">
        <v>23</v>
      </c>
      <c r="F67" s="16"/>
      <c r="G67" s="18" t="s">
        <v>24</v>
      </c>
      <c r="H67" s="18" t="s">
        <v>226</v>
      </c>
      <c r="I67" s="24" t="s">
        <v>247</v>
      </c>
      <c r="J67" s="18"/>
      <c r="K67" s="18"/>
      <c r="L67" s="25"/>
    </row>
    <row r="68" customHeight="1" spans="1:12">
      <c r="A68" s="14" t="str">
        <f t="shared" si="1"/>
        <v>0x000000C4</v>
      </c>
      <c r="B68" s="15">
        <f>SUM_HEX(C67:F67,B67,3)</f>
        <v>196</v>
      </c>
      <c r="C68" s="16" t="s">
        <v>22</v>
      </c>
      <c r="D68" s="16" t="s">
        <v>248</v>
      </c>
      <c r="E68" s="16" t="s">
        <v>23</v>
      </c>
      <c r="F68" s="16"/>
      <c r="G68" s="18" t="s">
        <v>24</v>
      </c>
      <c r="H68" s="18" t="s">
        <v>226</v>
      </c>
      <c r="I68" s="24" t="s">
        <v>249</v>
      </c>
      <c r="J68" s="18"/>
      <c r="K68" s="18"/>
      <c r="L68" s="25"/>
    </row>
    <row r="69" customHeight="1" spans="1:12">
      <c r="A69" s="14" t="str">
        <f t="shared" si="1"/>
        <v>0x000000D0</v>
      </c>
      <c r="B69" s="15">
        <f>SUM_HEX(C68:F68,B68,3)</f>
        <v>208</v>
      </c>
      <c r="C69" s="16" t="s">
        <v>22</v>
      </c>
      <c r="D69" s="16" t="s">
        <v>250</v>
      </c>
      <c r="E69" s="16" t="s">
        <v>23</v>
      </c>
      <c r="F69" s="16"/>
      <c r="G69" s="18" t="s">
        <v>24</v>
      </c>
      <c r="H69" s="18" t="s">
        <v>226</v>
      </c>
      <c r="I69" s="24" t="s">
        <v>251</v>
      </c>
      <c r="J69" s="18"/>
      <c r="K69" s="18"/>
      <c r="L69" s="25"/>
    </row>
    <row r="70" customHeight="1" spans="1:12">
      <c r="A70" s="14" t="str">
        <f t="shared" si="1"/>
        <v>0x000000DC</v>
      </c>
      <c r="B70" s="15">
        <f>SUM_HEX(C69:F69,B69,3)</f>
        <v>220</v>
      </c>
      <c r="C70" s="16" t="s">
        <v>22</v>
      </c>
      <c r="D70" s="16" t="s">
        <v>252</v>
      </c>
      <c r="E70" s="16" t="s">
        <v>23</v>
      </c>
      <c r="F70" s="16"/>
      <c r="G70" s="18" t="s">
        <v>24</v>
      </c>
      <c r="H70" s="18" t="s">
        <v>226</v>
      </c>
      <c r="I70" s="24" t="s">
        <v>253</v>
      </c>
      <c r="J70" s="18"/>
      <c r="K70" s="18"/>
      <c r="L70" s="25"/>
    </row>
    <row r="71" customHeight="1" spans="1:12">
      <c r="A71" s="14" t="str">
        <f t="shared" si="1"/>
        <v>0x000000E8</v>
      </c>
      <c r="B71" s="15">
        <f>SUM_HEX(C70:F70,B70,3)</f>
        <v>232</v>
      </c>
      <c r="C71" s="16" t="s">
        <v>22</v>
      </c>
      <c r="D71" s="16" t="s">
        <v>254</v>
      </c>
      <c r="E71" s="16" t="s">
        <v>23</v>
      </c>
      <c r="F71" s="16"/>
      <c r="G71" s="18" t="s">
        <v>24</v>
      </c>
      <c r="H71" s="18" t="s">
        <v>226</v>
      </c>
      <c r="I71" s="24" t="s">
        <v>255</v>
      </c>
      <c r="J71" s="18"/>
      <c r="K71" s="18"/>
      <c r="L71" s="25"/>
    </row>
    <row r="72" customHeight="1" spans="1:12">
      <c r="A72" s="14" t="str">
        <f t="shared" si="1"/>
        <v>0x000000F4</v>
      </c>
      <c r="B72" s="15">
        <f>SUM_HEX(C71:F71,B71,3)</f>
        <v>244</v>
      </c>
      <c r="C72" s="16" t="s">
        <v>22</v>
      </c>
      <c r="D72" s="16" t="s">
        <v>256</v>
      </c>
      <c r="E72" s="16" t="s">
        <v>23</v>
      </c>
      <c r="F72" s="16"/>
      <c r="G72" s="18" t="s">
        <v>24</v>
      </c>
      <c r="H72" s="18" t="s">
        <v>226</v>
      </c>
      <c r="I72" s="24" t="s">
        <v>257</v>
      </c>
      <c r="J72" s="18"/>
      <c r="K72" s="18"/>
      <c r="L72" s="25"/>
    </row>
    <row r="73" customHeight="1" spans="1:12">
      <c r="A73" s="14" t="str">
        <f t="shared" si="1"/>
        <v>0x00000100</v>
      </c>
      <c r="B73" s="15">
        <f>SUM_HEX(C72:F72,B72,3)</f>
        <v>256</v>
      </c>
      <c r="C73" s="16" t="s">
        <v>22</v>
      </c>
      <c r="D73" s="16" t="s">
        <v>258</v>
      </c>
      <c r="E73" s="16" t="s">
        <v>23</v>
      </c>
      <c r="F73" s="16"/>
      <c r="G73" s="18" t="s">
        <v>24</v>
      </c>
      <c r="H73" s="18" t="s">
        <v>226</v>
      </c>
      <c r="I73" s="24" t="s">
        <v>259</v>
      </c>
      <c r="J73" s="18"/>
      <c r="K73" s="18"/>
      <c r="L73" s="25"/>
    </row>
    <row r="74" customHeight="1" spans="1:12">
      <c r="A74" s="14" t="str">
        <f t="shared" si="1"/>
        <v>0x0000010C</v>
      </c>
      <c r="B74" s="15">
        <f>SUM_HEX(C73:F73,B73,3)</f>
        <v>268</v>
      </c>
      <c r="C74" s="16" t="s">
        <v>22</v>
      </c>
      <c r="D74" s="16" t="s">
        <v>260</v>
      </c>
      <c r="E74" s="16" t="s">
        <v>23</v>
      </c>
      <c r="F74" s="16"/>
      <c r="G74" s="18" t="s">
        <v>24</v>
      </c>
      <c r="H74" s="18" t="s">
        <v>226</v>
      </c>
      <c r="I74" s="24" t="s">
        <v>261</v>
      </c>
      <c r="J74" s="18"/>
      <c r="K74" s="18"/>
      <c r="L74" s="25"/>
    </row>
    <row r="75" customHeight="1" spans="1:12">
      <c r="A75" s="14" t="str">
        <f t="shared" si="1"/>
        <v>0x00000118</v>
      </c>
      <c r="B75" s="15">
        <f>SUM_HEX(C74:F74,B74,3)</f>
        <v>280</v>
      </c>
      <c r="C75" s="16" t="s">
        <v>23</v>
      </c>
      <c r="D75" s="16"/>
      <c r="E75" s="16"/>
      <c r="F75" s="16"/>
      <c r="G75" s="17" t="s">
        <v>15</v>
      </c>
      <c r="H75" s="17"/>
      <c r="I75" s="22"/>
      <c r="J75" s="17"/>
      <c r="K75" s="17"/>
      <c r="L75" s="23"/>
    </row>
    <row r="76" customHeight="1" spans="1:12">
      <c r="A76" s="14" t="str">
        <f t="shared" si="1"/>
        <v>0x0000011C</v>
      </c>
      <c r="B76" s="15">
        <f>SUM_HEX(C75:F75,B75,3)</f>
        <v>284</v>
      </c>
      <c r="C76" s="16" t="s">
        <v>29</v>
      </c>
      <c r="D76" s="16"/>
      <c r="E76" s="16"/>
      <c r="F76" s="16"/>
      <c r="G76" s="18" t="s">
        <v>15</v>
      </c>
      <c r="H76" s="18"/>
      <c r="I76" s="24" t="s">
        <v>262</v>
      </c>
      <c r="J76" s="24"/>
      <c r="K76" s="18" t="s">
        <v>263</v>
      </c>
      <c r="L76" s="25"/>
    </row>
    <row r="77" customHeight="1" spans="1:12">
      <c r="A77" s="14" t="str">
        <f t="shared" si="1"/>
        <v>0x00000120</v>
      </c>
      <c r="B77" s="15">
        <f>SUM_HEX(C76:F76,B76,3)</f>
        <v>288</v>
      </c>
      <c r="C77" s="16" t="s">
        <v>29</v>
      </c>
      <c r="D77" s="16"/>
      <c r="E77" s="16"/>
      <c r="F77" s="16"/>
      <c r="G77" s="18" t="s">
        <v>15</v>
      </c>
      <c r="H77" s="18"/>
      <c r="I77" s="24" t="s">
        <v>264</v>
      </c>
      <c r="J77" s="24"/>
      <c r="K77" s="18" t="s">
        <v>265</v>
      </c>
      <c r="L77" s="25" t="s">
        <v>266</v>
      </c>
    </row>
    <row r="78" customHeight="1" spans="1:12">
      <c r="A78" s="14" t="str">
        <f t="shared" si="1"/>
        <v>0x00000124</v>
      </c>
      <c r="B78" s="15">
        <f>SUM_HEX(C77:F77,B77,3)</f>
        <v>292</v>
      </c>
      <c r="C78" s="16" t="s">
        <v>29</v>
      </c>
      <c r="D78" s="16"/>
      <c r="E78" s="16"/>
      <c r="F78" s="16"/>
      <c r="G78" s="18" t="s">
        <v>15</v>
      </c>
      <c r="H78" s="18"/>
      <c r="I78" s="24" t="s">
        <v>267</v>
      </c>
      <c r="J78" s="24"/>
      <c r="K78" s="18" t="s">
        <v>265</v>
      </c>
      <c r="L78" s="25" t="s">
        <v>266</v>
      </c>
    </row>
    <row r="79" customHeight="1" spans="1:12">
      <c r="A79" s="14" t="str">
        <f t="shared" si="1"/>
        <v>0x00000128</v>
      </c>
      <c r="B79" s="15">
        <f>SUM_HEX(C78:F78,B78,3)</f>
        <v>296</v>
      </c>
      <c r="C79" s="16" t="s">
        <v>23</v>
      </c>
      <c r="D79" s="16"/>
      <c r="E79" s="16"/>
      <c r="F79" s="16"/>
      <c r="G79" s="18" t="s">
        <v>15</v>
      </c>
      <c r="H79" s="18"/>
      <c r="I79" s="24" t="s">
        <v>268</v>
      </c>
      <c r="J79" s="24"/>
      <c r="K79" s="18"/>
      <c r="L79" s="25"/>
    </row>
    <row r="80" customHeight="1" spans="1:12">
      <c r="A80" s="14" t="str">
        <f t="shared" si="1"/>
        <v>0x0000012C</v>
      </c>
      <c r="B80" s="15">
        <f>SUM_HEX(C79:F79,B79,3)</f>
        <v>300</v>
      </c>
      <c r="C80" s="16" t="s">
        <v>269</v>
      </c>
      <c r="D80" s="16"/>
      <c r="E80" s="16"/>
      <c r="F80" s="16"/>
      <c r="G80" s="18" t="s">
        <v>157</v>
      </c>
      <c r="H80" s="18" t="s">
        <v>212</v>
      </c>
      <c r="I80" s="24" t="s">
        <v>270</v>
      </c>
      <c r="J80" s="24"/>
      <c r="K80" s="24" t="s">
        <v>271</v>
      </c>
      <c r="L80" s="24" t="s">
        <v>272</v>
      </c>
    </row>
    <row r="81" customHeight="1" spans="1:12">
      <c r="A81" s="14" t="str">
        <f t="shared" si="1"/>
        <v>0x00000130</v>
      </c>
      <c r="B81" s="15">
        <f>SUM_HEX(C80:F80,B80,3)</f>
        <v>304</v>
      </c>
      <c r="C81" s="16" t="s">
        <v>273</v>
      </c>
      <c r="D81" s="16"/>
      <c r="E81" s="16"/>
      <c r="F81" s="16"/>
      <c r="G81" s="18"/>
      <c r="H81" s="18"/>
      <c r="I81" s="24"/>
      <c r="J81" s="24"/>
      <c r="K81" s="24"/>
      <c r="L81" s="24"/>
    </row>
    <row r="82" customHeight="1" spans="1:12">
      <c r="A82" s="14" t="str">
        <f t="shared" si="1"/>
        <v>0x00000134</v>
      </c>
      <c r="B82" s="15">
        <f>SUM_HEX(C81:F81,B81,3)</f>
        <v>308</v>
      </c>
      <c r="C82" s="16" t="s">
        <v>23</v>
      </c>
      <c r="D82" s="16" t="s">
        <v>23</v>
      </c>
      <c r="E82" s="16"/>
      <c r="F82" s="16"/>
      <c r="G82" s="18"/>
      <c r="H82" s="18"/>
      <c r="I82" s="24"/>
      <c r="J82" s="24"/>
      <c r="K82" s="24"/>
      <c r="L82" s="24"/>
    </row>
    <row r="83" customHeight="1" spans="1:12">
      <c r="A83" s="14" t="str">
        <f t="shared" si="1"/>
        <v>0x0000013C</v>
      </c>
      <c r="B83" s="15">
        <f>SUM_HEX(C82:F82,B82,3)</f>
        <v>316</v>
      </c>
      <c r="C83" s="16" t="s">
        <v>274</v>
      </c>
      <c r="D83" s="16"/>
      <c r="E83" s="16"/>
      <c r="F83" s="16"/>
      <c r="G83" s="18"/>
      <c r="H83" s="18"/>
      <c r="I83" s="24"/>
      <c r="J83" s="24"/>
      <c r="K83" s="24"/>
      <c r="L83" s="24"/>
    </row>
    <row r="84" customHeight="1" spans="1:12">
      <c r="A84" s="14" t="str">
        <f t="shared" si="1"/>
        <v>0x00000140</v>
      </c>
      <c r="B84" s="15">
        <f>SUM_HEX(C83:F83,B83,3)</f>
        <v>320</v>
      </c>
      <c r="C84" s="16" t="s">
        <v>23</v>
      </c>
      <c r="D84" s="16"/>
      <c r="E84" s="16"/>
      <c r="F84" s="16"/>
      <c r="G84" s="17" t="s">
        <v>157</v>
      </c>
      <c r="H84" s="17" t="s">
        <v>212</v>
      </c>
      <c r="I84" s="22"/>
      <c r="J84" s="17"/>
      <c r="K84" s="22"/>
      <c r="L84" s="22"/>
    </row>
    <row r="85" customHeight="1" spans="1:12">
      <c r="A85" s="14" t="str">
        <f t="shared" si="1"/>
        <v>0x00000144</v>
      </c>
      <c r="B85" s="15">
        <f>SUM_HEX(C84:F84,B84,3)</f>
        <v>324</v>
      </c>
      <c r="C85" s="16" t="s">
        <v>275</v>
      </c>
      <c r="D85" s="16"/>
      <c r="E85" s="16"/>
      <c r="F85" s="16"/>
      <c r="G85" s="17"/>
      <c r="H85" s="17"/>
      <c r="I85" s="22"/>
      <c r="J85" s="17"/>
      <c r="K85" s="22"/>
      <c r="L85" s="22"/>
    </row>
    <row r="86" customHeight="1" spans="1:12">
      <c r="A86" s="14" t="str">
        <f t="shared" si="1"/>
        <v>0x00000148</v>
      </c>
      <c r="B86" s="15">
        <f>SUM_HEX(C85:F85,B85,3)</f>
        <v>328</v>
      </c>
      <c r="C86" s="16" t="s">
        <v>23</v>
      </c>
      <c r="D86" s="16" t="s">
        <v>23</v>
      </c>
      <c r="E86" s="16"/>
      <c r="F86" s="16"/>
      <c r="G86" s="17"/>
      <c r="H86" s="17"/>
      <c r="I86" s="22"/>
      <c r="J86" s="17"/>
      <c r="K86" s="22"/>
      <c r="L86" s="22"/>
    </row>
    <row r="87" customHeight="1" spans="1:12">
      <c r="A87" s="14" t="str">
        <f t="shared" si="1"/>
        <v>0x00000150</v>
      </c>
      <c r="B87" s="15">
        <f>SUM_HEX(C86:F86,B86,3)</f>
        <v>336</v>
      </c>
      <c r="C87" s="16" t="s">
        <v>274</v>
      </c>
      <c r="D87" s="16"/>
      <c r="E87" s="16"/>
      <c r="F87" s="16"/>
      <c r="G87" s="17"/>
      <c r="H87" s="17"/>
      <c r="I87" s="22"/>
      <c r="J87" s="17"/>
      <c r="K87" s="22"/>
      <c r="L87" s="22"/>
    </row>
    <row r="88" customHeight="1" spans="1:12">
      <c r="A88" s="14" t="str">
        <f t="shared" si="1"/>
        <v>0x00000154</v>
      </c>
      <c r="B88" s="15">
        <f>SUM_HEX(C87:F87,B87,3)</f>
        <v>340</v>
      </c>
      <c r="C88" s="16" t="s">
        <v>23</v>
      </c>
      <c r="D88" s="16" t="s">
        <v>23</v>
      </c>
      <c r="E88" s="16" t="s">
        <v>23</v>
      </c>
      <c r="F88" s="16"/>
      <c r="G88" s="18" t="s">
        <v>24</v>
      </c>
      <c r="H88" s="18" t="s">
        <v>276</v>
      </c>
      <c r="I88" s="24" t="s">
        <v>277</v>
      </c>
      <c r="J88" s="18"/>
      <c r="K88" s="18"/>
      <c r="L88" s="25"/>
    </row>
  </sheetData>
  <mergeCells count="91">
    <mergeCell ref="A2:B2"/>
    <mergeCell ref="C2:F2"/>
    <mergeCell ref="G2:H2"/>
    <mergeCell ref="N2:AI2"/>
    <mergeCell ref="N3:AI3"/>
    <mergeCell ref="N4:AI4"/>
    <mergeCell ref="N14:AI14"/>
    <mergeCell ref="G46:H46"/>
    <mergeCell ref="N46:AI46"/>
    <mergeCell ref="G47:H47"/>
    <mergeCell ref="N47:AI47"/>
    <mergeCell ref="G48:H48"/>
    <mergeCell ref="N48:AI48"/>
    <mergeCell ref="G49:H49"/>
    <mergeCell ref="G50:H50"/>
    <mergeCell ref="G51:H51"/>
    <mergeCell ref="N51:AI51"/>
    <mergeCell ref="G52:H52"/>
    <mergeCell ref="N52:AI52"/>
    <mergeCell ref="G53:H53"/>
    <mergeCell ref="N53:AI53"/>
    <mergeCell ref="G54:H54"/>
    <mergeCell ref="N54:AI54"/>
    <mergeCell ref="G55:H55"/>
    <mergeCell ref="N55:AI55"/>
    <mergeCell ref="G56:H56"/>
    <mergeCell ref="N56:AI56"/>
    <mergeCell ref="N57:AI57"/>
    <mergeCell ref="N58:AI58"/>
    <mergeCell ref="N59:AI59"/>
    <mergeCell ref="N60:AI60"/>
    <mergeCell ref="N61:AI61"/>
    <mergeCell ref="N62:AI62"/>
    <mergeCell ref="N63:AI63"/>
    <mergeCell ref="N64:AI64"/>
    <mergeCell ref="N65:AI65"/>
    <mergeCell ref="N66:AI66"/>
    <mergeCell ref="N67:AI67"/>
    <mergeCell ref="N68:AI68"/>
    <mergeCell ref="N69:AI69"/>
    <mergeCell ref="N70:AI70"/>
    <mergeCell ref="N71:AI71"/>
    <mergeCell ref="N72:AI72"/>
    <mergeCell ref="N73:AI73"/>
    <mergeCell ref="N74:AI74"/>
    <mergeCell ref="G75:H75"/>
    <mergeCell ref="N75:AI75"/>
    <mergeCell ref="G76:H76"/>
    <mergeCell ref="N76:AI76"/>
    <mergeCell ref="G77:H77"/>
    <mergeCell ref="N77:AI77"/>
    <mergeCell ref="G78:H78"/>
    <mergeCell ref="N78:AI78"/>
    <mergeCell ref="G79:H79"/>
    <mergeCell ref="N79:AI79"/>
    <mergeCell ref="N80:AI80"/>
    <mergeCell ref="N81:AI81"/>
    <mergeCell ref="N82:AI82"/>
    <mergeCell ref="N83:AI83"/>
    <mergeCell ref="N84:AI84"/>
    <mergeCell ref="N85:AI85"/>
    <mergeCell ref="N86:AI86"/>
    <mergeCell ref="N87:AI87"/>
    <mergeCell ref="A4:A13"/>
    <mergeCell ref="A14:A45"/>
    <mergeCell ref="B4:B13"/>
    <mergeCell ref="B14:B45"/>
    <mergeCell ref="C4:C13"/>
    <mergeCell ref="C14:C45"/>
    <mergeCell ref="D4:D13"/>
    <mergeCell ref="D14:D45"/>
    <mergeCell ref="E4:E13"/>
    <mergeCell ref="E14:E45"/>
    <mergeCell ref="F4:F13"/>
    <mergeCell ref="F14:F45"/>
    <mergeCell ref="G4:G13"/>
    <mergeCell ref="G14:G45"/>
    <mergeCell ref="G80:G83"/>
    <mergeCell ref="G84:G87"/>
    <mergeCell ref="H80:H83"/>
    <mergeCell ref="H84:H87"/>
    <mergeCell ref="I4:I13"/>
    <mergeCell ref="I14:I45"/>
    <mergeCell ref="I80:I83"/>
    <mergeCell ref="I84:I87"/>
    <mergeCell ref="J80:J83"/>
    <mergeCell ref="J84:J87"/>
    <mergeCell ref="K80:K83"/>
    <mergeCell ref="K84:K87"/>
    <mergeCell ref="L80:L83"/>
    <mergeCell ref="L84:L87"/>
  </mergeCells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2:AI2369"/>
  <sheetViews>
    <sheetView topLeftCell="D595" workbookViewId="0">
      <selection activeCell="H612" sqref="H612:H615"/>
    </sheetView>
  </sheetViews>
  <sheetFormatPr defaultColWidth="9" defaultRowHeight="13.5" customHeight="1"/>
  <cols>
    <col min="1" max="1" width="11.25" style="1" customWidth="1"/>
    <col min="2" max="2" width="7.625" style="2" customWidth="1"/>
    <col min="3" max="6" width="9.625" style="3" customWidth="1"/>
    <col min="7" max="8" width="8.625" style="4" customWidth="1"/>
    <col min="9" max="9" width="20.125" style="5" customWidth="1"/>
    <col min="10" max="10" width="58.875" style="4" customWidth="1"/>
    <col min="11" max="11" width="15.125" style="4" customWidth="1"/>
    <col min="12" max="12" width="9" style="3"/>
    <col min="13" max="13" width="3.625" style="6" customWidth="1"/>
    <col min="14" max="16384" width="9" style="4"/>
  </cols>
  <sheetData>
    <row r="2" customHeight="1" spans="1:14">
      <c r="A2" s="7" t="s">
        <v>136</v>
      </c>
      <c r="B2" s="8" t="s">
        <v>27</v>
      </c>
      <c r="C2" s="9" t="s">
        <v>278</v>
      </c>
      <c r="N2" s="19" t="s">
        <v>1</v>
      </c>
    </row>
    <row r="3" customHeight="1" spans="1:14">
      <c r="A3" s="10" t="s">
        <v>2</v>
      </c>
      <c r="B3" s="11"/>
      <c r="C3" s="12" t="s">
        <v>3</v>
      </c>
      <c r="D3" s="12"/>
      <c r="E3" s="12"/>
      <c r="F3" s="12"/>
      <c r="G3" s="13" t="s">
        <v>4</v>
      </c>
      <c r="H3" s="13"/>
      <c r="I3" s="20" t="s">
        <v>5</v>
      </c>
      <c r="J3" s="13" t="s">
        <v>6</v>
      </c>
      <c r="K3" s="13" t="s">
        <v>7</v>
      </c>
      <c r="L3" s="21" t="s">
        <v>8</v>
      </c>
      <c r="N3" s="4" t="str">
        <f>TO_HTML_TABLE(A3:L3)</f>
        <v>&lt;tr&gt;&lt;td colspan="2"&gt;Offset&lt;/td&gt;&lt;td colspan="4"&gt;HEX&lt;/td&gt;&lt;td colspan="2"&gt;Type&lt;/td&gt;&lt;td&gt;Name&lt;/td&gt;&lt;td&gt;Description&lt;/td&gt;&lt;td&gt;Bound&lt;/td&gt;&lt;td&gt;ToMax&lt;/td&gt;&lt;/tr&gt;</v>
      </c>
    </row>
    <row r="4" customHeight="1" spans="1:12">
      <c r="A4" s="14" t="str">
        <f>"0x"&amp;DEC2HEX(B4,8)</f>
        <v>0x00000000</v>
      </c>
      <c r="B4" s="15">
        <f>0</f>
        <v>0</v>
      </c>
      <c r="C4" s="16" t="s">
        <v>29</v>
      </c>
      <c r="D4" s="16"/>
      <c r="E4" s="16"/>
      <c r="F4" s="16"/>
      <c r="G4" s="18" t="s">
        <v>15</v>
      </c>
      <c r="H4" s="18"/>
      <c r="I4" s="24" t="s">
        <v>279</v>
      </c>
      <c r="J4" s="18"/>
      <c r="K4" s="18" t="s">
        <v>21</v>
      </c>
      <c r="L4" s="25" t="s">
        <v>280</v>
      </c>
    </row>
    <row r="5" customHeight="1" spans="1:12">
      <c r="A5" s="14" t="str">
        <f>"0x"&amp;DEC2HEX(B5,8)</f>
        <v>0x00000004</v>
      </c>
      <c r="B5" s="15">
        <f>SUM_HEX(C4:F4,B4,3)</f>
        <v>4</v>
      </c>
      <c r="C5" s="16" t="s">
        <v>22</v>
      </c>
      <c r="D5" s="16"/>
      <c r="E5" s="16"/>
      <c r="F5" s="16"/>
      <c r="G5" s="18" t="s">
        <v>15</v>
      </c>
      <c r="H5" s="18"/>
      <c r="I5" s="24" t="s">
        <v>281</v>
      </c>
      <c r="J5" s="18"/>
      <c r="K5" s="18" t="s">
        <v>21</v>
      </c>
      <c r="L5" s="25" t="s">
        <v>280</v>
      </c>
    </row>
    <row r="6" customHeight="1" spans="1:12">
      <c r="A6" s="14" t="str">
        <f>"0x"&amp;DEC2HEX(B6,8)</f>
        <v>0x00000008</v>
      </c>
      <c r="B6" s="15">
        <f>SUM_HEX(C5:F5,B5,3)</f>
        <v>8</v>
      </c>
      <c r="C6" s="16" t="s">
        <v>282</v>
      </c>
      <c r="D6" s="16"/>
      <c r="E6" s="16"/>
      <c r="F6" s="16"/>
      <c r="G6" s="18" t="s">
        <v>33</v>
      </c>
      <c r="H6" s="18" t="s">
        <v>54</v>
      </c>
      <c r="I6" s="24" t="s">
        <v>283</v>
      </c>
      <c r="J6" s="24" t="s">
        <v>284</v>
      </c>
      <c r="K6" s="18"/>
      <c r="L6" s="25"/>
    </row>
    <row r="7" customHeight="1" spans="1:12">
      <c r="A7" s="14"/>
      <c r="B7" s="15"/>
      <c r="C7" s="16"/>
      <c r="D7" s="16"/>
      <c r="E7" s="16"/>
      <c r="F7" s="16"/>
      <c r="G7" s="18"/>
      <c r="H7" s="18" t="s">
        <v>57</v>
      </c>
      <c r="I7" s="24"/>
      <c r="J7" s="24" t="s">
        <v>285</v>
      </c>
      <c r="K7" s="18"/>
      <c r="L7" s="25"/>
    </row>
    <row r="8" customHeight="1" spans="1:12">
      <c r="A8" s="14"/>
      <c r="B8" s="15"/>
      <c r="C8" s="16"/>
      <c r="D8" s="16"/>
      <c r="E8" s="16"/>
      <c r="F8" s="16"/>
      <c r="G8" s="18"/>
      <c r="H8" s="18" t="s">
        <v>58</v>
      </c>
      <c r="I8" s="24"/>
      <c r="J8" s="24" t="s">
        <v>286</v>
      </c>
      <c r="K8" s="18"/>
      <c r="L8" s="25"/>
    </row>
    <row r="9" customHeight="1" spans="1:12">
      <c r="A9" s="14"/>
      <c r="B9" s="15"/>
      <c r="C9" s="16"/>
      <c r="D9" s="16"/>
      <c r="E9" s="16"/>
      <c r="F9" s="16"/>
      <c r="G9" s="18"/>
      <c r="H9" s="18" t="s">
        <v>59</v>
      </c>
      <c r="I9" s="24"/>
      <c r="J9" s="24" t="s">
        <v>287</v>
      </c>
      <c r="K9" s="18"/>
      <c r="L9" s="25"/>
    </row>
    <row r="10" customHeight="1" spans="1:12">
      <c r="A10" s="14" t="str">
        <f>"0x"&amp;DEC2HEX(B10,8)</f>
        <v>0x0000000C</v>
      </c>
      <c r="B10" s="15">
        <f>SUM_HEX(C6:F9,B6,3)</f>
        <v>12</v>
      </c>
      <c r="C10" s="26" t="s">
        <v>23</v>
      </c>
      <c r="D10" s="16"/>
      <c r="E10" s="16"/>
      <c r="F10" s="16"/>
      <c r="G10" s="46" t="s">
        <v>157</v>
      </c>
      <c r="H10" s="46" t="s">
        <v>212</v>
      </c>
      <c r="I10" s="24" t="s">
        <v>288</v>
      </c>
      <c r="J10" s="18"/>
      <c r="K10" s="18" t="s">
        <v>289</v>
      </c>
      <c r="L10" s="25" t="s">
        <v>272</v>
      </c>
    </row>
    <row r="11" customHeight="1" spans="1:12">
      <c r="A11" s="14" t="str">
        <f t="shared" ref="A11:A31" si="0">"0x"&amp;DEC2HEX(B11,8)</f>
        <v>0x00000010</v>
      </c>
      <c r="B11" s="15">
        <f>SUM_HEX(C10:F10,B10,3)</f>
        <v>16</v>
      </c>
      <c r="C11" s="16" t="s">
        <v>290</v>
      </c>
      <c r="D11" s="16"/>
      <c r="E11" s="16"/>
      <c r="F11" s="16"/>
      <c r="G11" s="47"/>
      <c r="H11" s="47"/>
      <c r="I11" s="24"/>
      <c r="J11" s="18"/>
      <c r="K11" s="18"/>
      <c r="L11" s="25"/>
    </row>
    <row r="12" customHeight="1" spans="1:12">
      <c r="A12" s="14" t="str">
        <f t="shared" si="0"/>
        <v>0x00000014</v>
      </c>
      <c r="B12" s="15">
        <f>SUM_HEX(C11:F11,B11,3)</f>
        <v>20</v>
      </c>
      <c r="C12" s="16" t="s">
        <v>148</v>
      </c>
      <c r="D12" s="16" t="s">
        <v>23</v>
      </c>
      <c r="E12" s="16"/>
      <c r="F12" s="16"/>
      <c r="G12" s="47"/>
      <c r="H12" s="47"/>
      <c r="I12" s="24"/>
      <c r="J12" s="18"/>
      <c r="K12" s="18"/>
      <c r="L12" s="25"/>
    </row>
    <row r="13" customHeight="1" spans="1:12">
      <c r="A13" s="14" t="str">
        <f t="shared" si="0"/>
        <v>0x0000001C</v>
      </c>
      <c r="B13" s="15">
        <f>SUM_HEX(C12:F12,B12,3)</f>
        <v>28</v>
      </c>
      <c r="C13" s="16" t="s">
        <v>274</v>
      </c>
      <c r="D13" s="16"/>
      <c r="E13" s="16"/>
      <c r="F13" s="16"/>
      <c r="G13" s="48"/>
      <c r="H13" s="48"/>
      <c r="I13" s="24"/>
      <c r="J13" s="18"/>
      <c r="K13" s="18"/>
      <c r="L13" s="25"/>
    </row>
    <row r="14" customHeight="1" spans="1:12">
      <c r="A14" s="14" t="str">
        <f t="shared" si="0"/>
        <v>0x00000020</v>
      </c>
      <c r="B14" s="15">
        <f>SUM_HEX(C13:F13,B13,3)</f>
        <v>32</v>
      </c>
      <c r="C14" s="16" t="s">
        <v>23</v>
      </c>
      <c r="D14" s="16"/>
      <c r="E14" s="16"/>
      <c r="F14" s="16"/>
      <c r="G14" s="46" t="s">
        <v>157</v>
      </c>
      <c r="H14" s="46" t="s">
        <v>212</v>
      </c>
      <c r="I14" s="24" t="s">
        <v>291</v>
      </c>
      <c r="J14" s="18"/>
      <c r="K14" s="18" t="s">
        <v>289</v>
      </c>
      <c r="L14" s="25" t="s">
        <v>272</v>
      </c>
    </row>
    <row r="15" customHeight="1" spans="1:12">
      <c r="A15" s="14" t="str">
        <f t="shared" si="0"/>
        <v>0x00000024</v>
      </c>
      <c r="B15" s="15">
        <f>SUM_HEX(C14:F14,B14,3)</f>
        <v>36</v>
      </c>
      <c r="C15" s="16" t="s">
        <v>292</v>
      </c>
      <c r="D15" s="16"/>
      <c r="E15" s="16"/>
      <c r="F15" s="16"/>
      <c r="G15" s="47"/>
      <c r="H15" s="47"/>
      <c r="I15" s="24"/>
      <c r="J15" s="18"/>
      <c r="K15" s="18"/>
      <c r="L15" s="25"/>
    </row>
    <row r="16" customHeight="1" spans="1:12">
      <c r="A16" s="14" t="str">
        <f t="shared" si="0"/>
        <v>0x00000028</v>
      </c>
      <c r="B16" s="15">
        <f>SUM_HEX(C15:F15,B15,3)</f>
        <v>40</v>
      </c>
      <c r="C16" s="16" t="s">
        <v>148</v>
      </c>
      <c r="D16" s="16" t="s">
        <v>23</v>
      </c>
      <c r="E16" s="16"/>
      <c r="F16" s="16"/>
      <c r="G16" s="47"/>
      <c r="H16" s="47"/>
      <c r="I16" s="24"/>
      <c r="J16" s="18"/>
      <c r="K16" s="18"/>
      <c r="L16" s="25"/>
    </row>
    <row r="17" customHeight="1" spans="1:12">
      <c r="A17" s="14" t="str">
        <f t="shared" si="0"/>
        <v>0x00000030</v>
      </c>
      <c r="B17" s="15">
        <f>SUM_HEX(C16:F16,B16,3)</f>
        <v>48</v>
      </c>
      <c r="C17" s="16" t="s">
        <v>274</v>
      </c>
      <c r="D17" s="16"/>
      <c r="E17" s="16"/>
      <c r="F17" s="16"/>
      <c r="G17" s="48"/>
      <c r="H17" s="48"/>
      <c r="I17" s="24"/>
      <c r="J17" s="18"/>
      <c r="K17" s="18"/>
      <c r="L17" s="25"/>
    </row>
    <row r="18" customHeight="1" spans="1:12">
      <c r="A18" s="14" t="str">
        <f t="shared" si="0"/>
        <v>0x00000034</v>
      </c>
      <c r="B18" s="15">
        <f>SUM_HEX(C17:F17,B17,3)</f>
        <v>52</v>
      </c>
      <c r="C18" s="16" t="s">
        <v>23</v>
      </c>
      <c r="D18" s="16"/>
      <c r="E18" s="16"/>
      <c r="F18" s="16"/>
      <c r="G18" s="46" t="s">
        <v>157</v>
      </c>
      <c r="H18" s="46" t="s">
        <v>212</v>
      </c>
      <c r="I18" s="24" t="s">
        <v>293</v>
      </c>
      <c r="J18" s="18"/>
      <c r="K18" s="18" t="s">
        <v>294</v>
      </c>
      <c r="L18" s="25"/>
    </row>
    <row r="19" customHeight="1" spans="1:12">
      <c r="A19" s="14" t="str">
        <f t="shared" si="0"/>
        <v>0x00000038</v>
      </c>
      <c r="B19" s="15">
        <f>SUM_HEX(C18:F18,B18,3)</f>
        <v>56</v>
      </c>
      <c r="C19" s="16" t="s">
        <v>295</v>
      </c>
      <c r="D19" s="16"/>
      <c r="E19" s="16"/>
      <c r="F19" s="16"/>
      <c r="G19" s="47"/>
      <c r="H19" s="47"/>
      <c r="I19" s="24"/>
      <c r="J19" s="18"/>
      <c r="K19" s="18"/>
      <c r="L19" s="25"/>
    </row>
    <row r="20" customHeight="1" spans="1:12">
      <c r="A20" s="14" t="str">
        <f t="shared" si="0"/>
        <v>0x0000003C</v>
      </c>
      <c r="B20" s="15">
        <f>SUM_HEX(C19:F19,B19,3)</f>
        <v>60</v>
      </c>
      <c r="C20" s="16" t="s">
        <v>23</v>
      </c>
      <c r="D20" s="16" t="s">
        <v>23</v>
      </c>
      <c r="E20" s="16"/>
      <c r="F20" s="16"/>
      <c r="G20" s="47"/>
      <c r="H20" s="47"/>
      <c r="I20" s="24"/>
      <c r="J20" s="18"/>
      <c r="K20" s="18"/>
      <c r="L20" s="25"/>
    </row>
    <row r="21" customHeight="1" spans="1:12">
      <c r="A21" s="14" t="str">
        <f t="shared" si="0"/>
        <v>0x00000044</v>
      </c>
      <c r="B21" s="15">
        <f>SUM_HEX(C20:F20,B20,3)</f>
        <v>68</v>
      </c>
      <c r="C21" s="16" t="s">
        <v>274</v>
      </c>
      <c r="D21" s="16"/>
      <c r="E21" s="16"/>
      <c r="F21" s="16"/>
      <c r="G21" s="48"/>
      <c r="H21" s="48"/>
      <c r="I21" s="24"/>
      <c r="J21" s="18"/>
      <c r="K21" s="18"/>
      <c r="L21" s="25"/>
    </row>
    <row r="22" customHeight="1" spans="1:12">
      <c r="A22" s="14" t="str">
        <f t="shared" si="0"/>
        <v>0x00000048</v>
      </c>
      <c r="B22" s="15">
        <f>SUM_HEX(C21:F21,B21,3)</f>
        <v>72</v>
      </c>
      <c r="C22" s="16" t="s">
        <v>23</v>
      </c>
      <c r="D22" s="16"/>
      <c r="E22" s="16"/>
      <c r="F22" s="16"/>
      <c r="G22" s="46" t="s">
        <v>157</v>
      </c>
      <c r="H22" s="46" t="s">
        <v>212</v>
      </c>
      <c r="I22" s="24" t="s">
        <v>296</v>
      </c>
      <c r="J22" s="18"/>
      <c r="K22" s="18" t="s">
        <v>294</v>
      </c>
      <c r="L22" s="25"/>
    </row>
    <row r="23" customHeight="1" spans="1:12">
      <c r="A23" s="14" t="str">
        <f t="shared" si="0"/>
        <v>0x0000004C</v>
      </c>
      <c r="B23" s="15">
        <f>SUM_HEX(C22:F22,B22,3)</f>
        <v>76</v>
      </c>
      <c r="C23" s="16" t="s">
        <v>297</v>
      </c>
      <c r="D23" s="16"/>
      <c r="E23" s="16"/>
      <c r="F23" s="16"/>
      <c r="G23" s="47"/>
      <c r="H23" s="47"/>
      <c r="I23" s="24"/>
      <c r="J23" s="18"/>
      <c r="K23" s="18"/>
      <c r="L23" s="25"/>
    </row>
    <row r="24" customHeight="1" spans="1:12">
      <c r="A24" s="14" t="str">
        <f t="shared" si="0"/>
        <v>0x00000050</v>
      </c>
      <c r="B24" s="15">
        <f>SUM_HEX(C23:F23,B23,3)</f>
        <v>80</v>
      </c>
      <c r="C24" s="16" t="s">
        <v>23</v>
      </c>
      <c r="D24" s="16" t="s">
        <v>23</v>
      </c>
      <c r="E24" s="16"/>
      <c r="F24" s="16"/>
      <c r="G24" s="47"/>
      <c r="H24" s="47"/>
      <c r="I24" s="24"/>
      <c r="J24" s="18"/>
      <c r="K24" s="18"/>
      <c r="L24" s="25"/>
    </row>
    <row r="25" customHeight="1" spans="1:12">
      <c r="A25" s="14" t="str">
        <f t="shared" si="0"/>
        <v>0x00000058</v>
      </c>
      <c r="B25" s="15">
        <f>SUM_HEX(C24:F24,B24,3)</f>
        <v>88</v>
      </c>
      <c r="C25" s="16" t="s">
        <v>274</v>
      </c>
      <c r="D25" s="16"/>
      <c r="E25" s="16"/>
      <c r="F25" s="16"/>
      <c r="G25" s="48"/>
      <c r="H25" s="48"/>
      <c r="I25" s="24"/>
      <c r="J25" s="18"/>
      <c r="K25" s="18"/>
      <c r="L25" s="25"/>
    </row>
    <row r="26" customHeight="1" spans="1:12">
      <c r="A26" s="14" t="str">
        <f t="shared" si="0"/>
        <v>0x0000005C</v>
      </c>
      <c r="B26" s="15">
        <f>SUM_HEX(C25:F25,B25,3)</f>
        <v>92</v>
      </c>
      <c r="C26" s="16" t="s">
        <v>23</v>
      </c>
      <c r="D26" s="16"/>
      <c r="E26" s="16"/>
      <c r="F26" s="16"/>
      <c r="G26" s="46" t="s">
        <v>157</v>
      </c>
      <c r="H26" s="46" t="s">
        <v>212</v>
      </c>
      <c r="I26" s="24" t="s">
        <v>298</v>
      </c>
      <c r="J26" s="18"/>
      <c r="K26" s="18" t="s">
        <v>299</v>
      </c>
      <c r="L26" s="25" t="s">
        <v>300</v>
      </c>
    </row>
    <row r="27" customHeight="1" spans="1:12">
      <c r="A27" s="14" t="str">
        <f t="shared" si="0"/>
        <v>0x00000060</v>
      </c>
      <c r="B27" s="15">
        <f>SUM_HEX(C26:F26,B26,3)</f>
        <v>96</v>
      </c>
      <c r="C27" s="16" t="s">
        <v>301</v>
      </c>
      <c r="D27" s="16"/>
      <c r="E27" s="16"/>
      <c r="F27" s="16"/>
      <c r="G27" s="47"/>
      <c r="H27" s="47"/>
      <c r="I27" s="24"/>
      <c r="J27" s="18"/>
      <c r="K27" s="18"/>
      <c r="L27" s="25"/>
    </row>
    <row r="28" customHeight="1" spans="1:12">
      <c r="A28" s="14" t="str">
        <f t="shared" si="0"/>
        <v>0x00000064</v>
      </c>
      <c r="B28" s="15">
        <f>SUM_HEX(C27:F27,B27,3)</f>
        <v>100</v>
      </c>
      <c r="C28" s="16" t="s">
        <v>23</v>
      </c>
      <c r="D28" s="16" t="s">
        <v>23</v>
      </c>
      <c r="E28" s="16"/>
      <c r="F28" s="16"/>
      <c r="G28" s="47"/>
      <c r="H28" s="47"/>
      <c r="I28" s="24"/>
      <c r="J28" s="18"/>
      <c r="K28" s="18"/>
      <c r="L28" s="25"/>
    </row>
    <row r="29" customHeight="1" spans="1:12">
      <c r="A29" s="14" t="str">
        <f t="shared" si="0"/>
        <v>0x0000006C</v>
      </c>
      <c r="B29" s="15">
        <f>SUM_HEX(C28:F28,B28,3)</f>
        <v>108</v>
      </c>
      <c r="C29" s="16" t="s">
        <v>274</v>
      </c>
      <c r="D29" s="16"/>
      <c r="E29" s="16"/>
      <c r="F29" s="16"/>
      <c r="G29" s="48"/>
      <c r="H29" s="48"/>
      <c r="I29" s="24"/>
      <c r="J29" s="18"/>
      <c r="K29" s="18"/>
      <c r="L29" s="25"/>
    </row>
    <row r="30" customHeight="1" spans="1:12">
      <c r="A30" s="14" t="str">
        <f t="shared" si="0"/>
        <v>0x00000070</v>
      </c>
      <c r="B30" s="15">
        <f>SUM_HEX(C29:F29,B29,3)</f>
        <v>112</v>
      </c>
      <c r="C30" s="16" t="s">
        <v>23</v>
      </c>
      <c r="D30" s="16"/>
      <c r="E30" s="16"/>
      <c r="F30" s="16"/>
      <c r="G30" s="46" t="s">
        <v>157</v>
      </c>
      <c r="H30" s="46" t="s">
        <v>212</v>
      </c>
      <c r="I30" s="24" t="s">
        <v>302</v>
      </c>
      <c r="J30" s="18"/>
      <c r="K30" s="18" t="s">
        <v>299</v>
      </c>
      <c r="L30" s="25" t="s">
        <v>300</v>
      </c>
    </row>
    <row r="31" customHeight="1" spans="1:12">
      <c r="A31" s="14" t="str">
        <f t="shared" si="0"/>
        <v>0x00000074</v>
      </c>
      <c r="B31" s="15">
        <f>SUM_HEX(C30:F30,B30,3)</f>
        <v>116</v>
      </c>
      <c r="C31" s="16" t="s">
        <v>303</v>
      </c>
      <c r="D31" s="16"/>
      <c r="E31" s="16"/>
      <c r="F31" s="16"/>
      <c r="G31" s="47"/>
      <c r="H31" s="47"/>
      <c r="I31" s="24"/>
      <c r="J31" s="18"/>
      <c r="K31" s="18"/>
      <c r="L31" s="25"/>
    </row>
    <row r="32" customHeight="1" spans="1:12">
      <c r="A32" s="14" t="str">
        <f t="shared" ref="A13:A94" si="1">"0x"&amp;DEC2HEX(B32,8)</f>
        <v>0x00000078</v>
      </c>
      <c r="B32" s="15">
        <f>SUM_HEX(C31:F31,B31,3)</f>
        <v>120</v>
      </c>
      <c r="C32" s="16" t="s">
        <v>23</v>
      </c>
      <c r="D32" s="16" t="s">
        <v>23</v>
      </c>
      <c r="E32" s="16"/>
      <c r="F32" s="16"/>
      <c r="G32" s="47"/>
      <c r="H32" s="47"/>
      <c r="I32" s="24"/>
      <c r="J32" s="18"/>
      <c r="K32" s="18"/>
      <c r="L32" s="25"/>
    </row>
    <row r="33" customHeight="1" spans="1:12">
      <c r="A33" s="14" t="str">
        <f t="shared" si="1"/>
        <v>0x00000080</v>
      </c>
      <c r="B33" s="15">
        <f>SUM_HEX(C32:F32,B32,3)</f>
        <v>128</v>
      </c>
      <c r="C33" s="16" t="s">
        <v>274</v>
      </c>
      <c r="D33" s="16"/>
      <c r="E33" s="16"/>
      <c r="F33" s="16"/>
      <c r="G33" s="48"/>
      <c r="H33" s="48"/>
      <c r="I33" s="24"/>
      <c r="J33" s="18"/>
      <c r="K33" s="18"/>
      <c r="L33" s="25"/>
    </row>
    <row r="34" customHeight="1" spans="1:12">
      <c r="A34" s="14" t="str">
        <f t="shared" si="1"/>
        <v>0x00000084</v>
      </c>
      <c r="B34" s="15">
        <f>SUM_HEX(C33:F33,B33,3)</f>
        <v>132</v>
      </c>
      <c r="C34" s="16" t="s">
        <v>23</v>
      </c>
      <c r="D34" s="16"/>
      <c r="E34" s="16"/>
      <c r="F34" s="16"/>
      <c r="G34" s="46" t="s">
        <v>157</v>
      </c>
      <c r="H34" s="46" t="s">
        <v>212</v>
      </c>
      <c r="I34" s="24" t="s">
        <v>304</v>
      </c>
      <c r="J34" s="18"/>
      <c r="K34" s="18" t="s">
        <v>305</v>
      </c>
      <c r="L34" s="25"/>
    </row>
    <row r="35" customHeight="1" spans="1:12">
      <c r="A35" s="14" t="str">
        <f t="shared" si="1"/>
        <v>0x00000088</v>
      </c>
      <c r="B35" s="15">
        <f>SUM_HEX(C34:F34,B34,3)</f>
        <v>136</v>
      </c>
      <c r="C35" s="16" t="s">
        <v>306</v>
      </c>
      <c r="D35" s="16"/>
      <c r="E35" s="16"/>
      <c r="F35" s="16"/>
      <c r="G35" s="47"/>
      <c r="H35" s="47"/>
      <c r="I35" s="24"/>
      <c r="J35" s="18"/>
      <c r="K35" s="18"/>
      <c r="L35" s="25"/>
    </row>
    <row r="36" customHeight="1" spans="1:12">
      <c r="A36" s="14" t="str">
        <f t="shared" si="1"/>
        <v>0x0000008C</v>
      </c>
      <c r="B36" s="15">
        <f>SUM_HEX(C35:F35,B35,3)</f>
        <v>140</v>
      </c>
      <c r="C36" s="16" t="s">
        <v>307</v>
      </c>
      <c r="D36" s="16" t="s">
        <v>23</v>
      </c>
      <c r="E36" s="16"/>
      <c r="F36" s="16"/>
      <c r="G36" s="47"/>
      <c r="H36" s="47"/>
      <c r="I36" s="24"/>
      <c r="J36" s="18"/>
      <c r="K36" s="18"/>
      <c r="L36" s="25"/>
    </row>
    <row r="37" customHeight="1" spans="1:12">
      <c r="A37" s="14" t="str">
        <f t="shared" si="1"/>
        <v>0x00000094</v>
      </c>
      <c r="B37" s="15">
        <f>SUM_HEX(C36:F36,B36,3)</f>
        <v>148</v>
      </c>
      <c r="C37" s="16" t="s">
        <v>274</v>
      </c>
      <c r="D37" s="16"/>
      <c r="E37" s="16"/>
      <c r="F37" s="16"/>
      <c r="G37" s="48"/>
      <c r="H37" s="48"/>
      <c r="I37" s="24"/>
      <c r="J37" s="18"/>
      <c r="K37" s="18"/>
      <c r="L37" s="25"/>
    </row>
    <row r="38" customHeight="1" spans="1:12">
      <c r="A38" s="14" t="str">
        <f t="shared" si="1"/>
        <v>0x00000098</v>
      </c>
      <c r="B38" s="15">
        <f>SUM_HEX(C37:F37,B37,3)</f>
        <v>152</v>
      </c>
      <c r="C38" s="16" t="s">
        <v>23</v>
      </c>
      <c r="D38" s="16"/>
      <c r="E38" s="16"/>
      <c r="F38" s="16"/>
      <c r="G38" s="46" t="s">
        <v>157</v>
      </c>
      <c r="H38" s="46" t="s">
        <v>212</v>
      </c>
      <c r="I38" s="24" t="s">
        <v>308</v>
      </c>
      <c r="J38" s="18"/>
      <c r="K38" s="18" t="s">
        <v>305</v>
      </c>
      <c r="L38" s="25"/>
    </row>
    <row r="39" customHeight="1" spans="1:12">
      <c r="A39" s="14" t="str">
        <f t="shared" si="1"/>
        <v>0x0000009C</v>
      </c>
      <c r="B39" s="15">
        <f>SUM_HEX(C38:F38,B38,3)</f>
        <v>156</v>
      </c>
      <c r="C39" s="16" t="s">
        <v>309</v>
      </c>
      <c r="D39" s="16"/>
      <c r="E39" s="16"/>
      <c r="F39" s="16"/>
      <c r="G39" s="47"/>
      <c r="H39" s="47"/>
      <c r="I39" s="24"/>
      <c r="J39" s="18"/>
      <c r="K39" s="18"/>
      <c r="L39" s="25"/>
    </row>
    <row r="40" customHeight="1" spans="1:12">
      <c r="A40" s="14" t="str">
        <f t="shared" si="1"/>
        <v>0x000000A0</v>
      </c>
      <c r="B40" s="15">
        <f>SUM_HEX(C39:F39,B39,3)</f>
        <v>160</v>
      </c>
      <c r="C40" s="16" t="s">
        <v>307</v>
      </c>
      <c r="D40" s="16" t="s">
        <v>23</v>
      </c>
      <c r="E40" s="16"/>
      <c r="F40" s="16"/>
      <c r="G40" s="47"/>
      <c r="H40" s="47"/>
      <c r="I40" s="24"/>
      <c r="J40" s="18"/>
      <c r="K40" s="18"/>
      <c r="L40" s="25"/>
    </row>
    <row r="41" customHeight="1" spans="1:12">
      <c r="A41" s="14" t="str">
        <f t="shared" si="1"/>
        <v>0x000000A8</v>
      </c>
      <c r="B41" s="15">
        <f>SUM_HEX(C40:F40,B40,3)</f>
        <v>168</v>
      </c>
      <c r="C41" s="16" t="s">
        <v>274</v>
      </c>
      <c r="D41" s="16"/>
      <c r="E41" s="16"/>
      <c r="F41" s="16"/>
      <c r="G41" s="48"/>
      <c r="H41" s="48"/>
      <c r="I41" s="24"/>
      <c r="J41" s="18"/>
      <c r="K41" s="18"/>
      <c r="L41" s="25"/>
    </row>
    <row r="42" customHeight="1" spans="1:12">
      <c r="A42" s="14" t="str">
        <f t="shared" si="1"/>
        <v>0x000000AC</v>
      </c>
      <c r="B42" s="15">
        <f>SUM_HEX(C41:F41,B41,3)</f>
        <v>172</v>
      </c>
      <c r="C42" s="16" t="s">
        <v>23</v>
      </c>
      <c r="D42" s="16"/>
      <c r="E42" s="16"/>
      <c r="F42" s="16"/>
      <c r="G42" s="18" t="s">
        <v>212</v>
      </c>
      <c r="H42" s="18"/>
      <c r="I42" s="24" t="s">
        <v>310</v>
      </c>
      <c r="J42" s="18"/>
      <c r="K42" s="18" t="s">
        <v>311</v>
      </c>
      <c r="L42" s="25"/>
    </row>
    <row r="43" customHeight="1" spans="1:12">
      <c r="A43" s="14" t="str">
        <f t="shared" si="1"/>
        <v>0x000000B0</v>
      </c>
      <c r="B43" s="15">
        <f>SUM_HEX(C42:F42,B42,3)</f>
        <v>176</v>
      </c>
      <c r="C43" s="16" t="s">
        <v>23</v>
      </c>
      <c r="D43" s="16" t="s">
        <v>23</v>
      </c>
      <c r="E43" s="16"/>
      <c r="F43" s="16"/>
      <c r="G43" s="17"/>
      <c r="H43" s="17"/>
      <c r="I43" s="22"/>
      <c r="J43" s="17"/>
      <c r="K43" s="17"/>
      <c r="L43" s="23"/>
    </row>
    <row r="44" customHeight="1" spans="1:12">
      <c r="A44" s="14" t="str">
        <f t="shared" si="1"/>
        <v>0x000000B8</v>
      </c>
      <c r="B44" s="15">
        <f>SUM_HEX(C43:F43,B43,3)</f>
        <v>184</v>
      </c>
      <c r="C44" s="16" t="s">
        <v>312</v>
      </c>
      <c r="D44" s="16"/>
      <c r="E44" s="16"/>
      <c r="F44" s="16"/>
      <c r="G44" s="18" t="s">
        <v>212</v>
      </c>
      <c r="H44" s="18"/>
      <c r="I44" s="24" t="s">
        <v>313</v>
      </c>
      <c r="J44" s="18"/>
      <c r="K44" s="18" t="s">
        <v>314</v>
      </c>
      <c r="L44" s="25" t="s">
        <v>315</v>
      </c>
    </row>
    <row r="45" customHeight="1" spans="1:12">
      <c r="A45" s="14" t="str">
        <f t="shared" si="1"/>
        <v>0x000000BC</v>
      </c>
      <c r="B45" s="15">
        <f>SUM_HEX(C44:F44,B44,3)</f>
        <v>188</v>
      </c>
      <c r="C45" s="16" t="s">
        <v>316</v>
      </c>
      <c r="D45" s="16"/>
      <c r="E45" s="16"/>
      <c r="F45" s="16"/>
      <c r="G45" s="18" t="s">
        <v>212</v>
      </c>
      <c r="H45" s="18"/>
      <c r="I45" s="49" t="s">
        <v>317</v>
      </c>
      <c r="J45" s="18"/>
      <c r="K45" s="18" t="s">
        <v>318</v>
      </c>
      <c r="L45" s="25"/>
    </row>
    <row r="46" customHeight="1" spans="1:12">
      <c r="A46" s="14" t="str">
        <f t="shared" si="1"/>
        <v>0x000000C0</v>
      </c>
      <c r="B46" s="15">
        <f>SUM_HEX(C45:F45,B45,3)</f>
        <v>192</v>
      </c>
      <c r="C46" s="16" t="s">
        <v>316</v>
      </c>
      <c r="D46" s="16"/>
      <c r="E46" s="16"/>
      <c r="F46" s="16"/>
      <c r="G46" s="18" t="s">
        <v>212</v>
      </c>
      <c r="H46" s="18"/>
      <c r="I46" s="49" t="s">
        <v>319</v>
      </c>
      <c r="J46" s="18"/>
      <c r="K46" s="18" t="s">
        <v>318</v>
      </c>
      <c r="L46" s="25"/>
    </row>
    <row r="47" customHeight="1" spans="1:12">
      <c r="A47" s="14" t="str">
        <f t="shared" si="1"/>
        <v>0x000000C4</v>
      </c>
      <c r="B47" s="15">
        <f>SUM_HEX(C46:F46,B46,3)</f>
        <v>196</v>
      </c>
      <c r="C47" s="16" t="s">
        <v>316</v>
      </c>
      <c r="D47" s="16"/>
      <c r="E47" s="16"/>
      <c r="F47" s="16"/>
      <c r="G47" s="18" t="s">
        <v>212</v>
      </c>
      <c r="H47" s="18"/>
      <c r="I47" s="49" t="s">
        <v>320</v>
      </c>
      <c r="J47" s="18"/>
      <c r="K47" s="18" t="s">
        <v>318</v>
      </c>
      <c r="L47" s="25"/>
    </row>
    <row r="48" customHeight="1" spans="1:12">
      <c r="A48" s="14" t="str">
        <f t="shared" si="1"/>
        <v>0x000000C8</v>
      </c>
      <c r="B48" s="15">
        <f>SUM_HEX(C47:F47,B47,3)</f>
        <v>200</v>
      </c>
      <c r="C48" s="16" t="s">
        <v>316</v>
      </c>
      <c r="D48" s="16"/>
      <c r="E48" s="16"/>
      <c r="F48" s="16"/>
      <c r="G48" s="18" t="s">
        <v>212</v>
      </c>
      <c r="H48" s="18"/>
      <c r="I48" s="49" t="s">
        <v>321</v>
      </c>
      <c r="J48" s="18"/>
      <c r="K48" s="18" t="s">
        <v>318</v>
      </c>
      <c r="L48" s="25"/>
    </row>
    <row r="49" customHeight="1" spans="1:12">
      <c r="A49" s="14" t="str">
        <f t="shared" si="1"/>
        <v>0x000000CC</v>
      </c>
      <c r="B49" s="15">
        <f>SUM_HEX(C48:F48,B48,3)</f>
        <v>204</v>
      </c>
      <c r="C49" s="16" t="s">
        <v>23</v>
      </c>
      <c r="D49" s="16"/>
      <c r="E49" s="16"/>
      <c r="F49" s="16"/>
      <c r="G49" s="18" t="s">
        <v>212</v>
      </c>
      <c r="H49" s="18"/>
      <c r="I49" s="49" t="s">
        <v>322</v>
      </c>
      <c r="J49" s="18"/>
      <c r="K49" s="18" t="s">
        <v>318</v>
      </c>
      <c r="L49" s="25"/>
    </row>
    <row r="50" customHeight="1" spans="1:12">
      <c r="A50" s="14" t="str">
        <f t="shared" si="1"/>
        <v>0x000000D0</v>
      </c>
      <c r="B50" s="15">
        <f>SUM_HEX(C49:F49,B49,3)</f>
        <v>208</v>
      </c>
      <c r="C50" s="16" t="s">
        <v>23</v>
      </c>
      <c r="D50" s="16"/>
      <c r="E50" s="16"/>
      <c r="F50" s="16"/>
      <c r="G50" s="18" t="s">
        <v>212</v>
      </c>
      <c r="H50" s="18"/>
      <c r="I50" s="49" t="s">
        <v>323</v>
      </c>
      <c r="J50" s="18"/>
      <c r="K50" s="18" t="s">
        <v>318</v>
      </c>
      <c r="L50" s="25"/>
    </row>
    <row r="51" customHeight="1" spans="1:12">
      <c r="A51" s="14" t="str">
        <f t="shared" si="1"/>
        <v>0x000000D4</v>
      </c>
      <c r="B51" s="15">
        <f>SUM_HEX(C50:F50,B50,3)</f>
        <v>212</v>
      </c>
      <c r="C51" s="16" t="s">
        <v>23</v>
      </c>
      <c r="D51" s="16"/>
      <c r="E51" s="16"/>
      <c r="F51" s="16"/>
      <c r="G51" s="18" t="s">
        <v>212</v>
      </c>
      <c r="H51" s="18"/>
      <c r="I51" s="49" t="s">
        <v>324</v>
      </c>
      <c r="J51" s="18"/>
      <c r="K51" s="18" t="s">
        <v>318</v>
      </c>
      <c r="L51" s="25"/>
    </row>
    <row r="52" customHeight="1" spans="1:12">
      <c r="A52" s="14" t="str">
        <f t="shared" si="1"/>
        <v>0x000000D8</v>
      </c>
      <c r="B52" s="15">
        <f>SUM_HEX(C51:F51,B51,3)</f>
        <v>216</v>
      </c>
      <c r="C52" s="16" t="s">
        <v>23</v>
      </c>
      <c r="D52" s="16"/>
      <c r="E52" s="16"/>
      <c r="F52" s="16"/>
      <c r="G52" s="18" t="s">
        <v>212</v>
      </c>
      <c r="H52" s="18"/>
      <c r="I52" s="49" t="s">
        <v>325</v>
      </c>
      <c r="J52" s="18"/>
      <c r="K52" s="18" t="s">
        <v>318</v>
      </c>
      <c r="L52" s="25"/>
    </row>
    <row r="53" customHeight="1" spans="1:12">
      <c r="A53" s="14" t="str">
        <f t="shared" si="1"/>
        <v>0x000000DC</v>
      </c>
      <c r="B53" s="15">
        <f>SUM_HEX(C52:F52,B52,3)</f>
        <v>220</v>
      </c>
      <c r="C53" s="16" t="s">
        <v>23</v>
      </c>
      <c r="D53" s="16"/>
      <c r="E53" s="16"/>
      <c r="F53" s="16"/>
      <c r="G53" s="46" t="s">
        <v>157</v>
      </c>
      <c r="H53" s="46" t="s">
        <v>326</v>
      </c>
      <c r="I53" s="24" t="s">
        <v>327</v>
      </c>
      <c r="J53" s="18"/>
      <c r="K53" s="18" t="s">
        <v>328</v>
      </c>
      <c r="L53" s="25" t="s">
        <v>272</v>
      </c>
    </row>
    <row r="54" customHeight="1" spans="1:12">
      <c r="A54" s="14" t="str">
        <f t="shared" si="1"/>
        <v>0x000000E0</v>
      </c>
      <c r="B54" s="15">
        <f>SUM_HEX(C53:F53,B53,3)</f>
        <v>224</v>
      </c>
      <c r="C54" s="16" t="s">
        <v>329</v>
      </c>
      <c r="D54" s="16"/>
      <c r="E54" s="16"/>
      <c r="F54" s="16"/>
      <c r="G54" s="47"/>
      <c r="H54" s="47"/>
      <c r="I54" s="24"/>
      <c r="J54" s="18"/>
      <c r="K54" s="18"/>
      <c r="L54" s="25"/>
    </row>
    <row r="55" customHeight="1" spans="1:12">
      <c r="A55" s="14" t="str">
        <f t="shared" si="1"/>
        <v>0x000000E4</v>
      </c>
      <c r="B55" s="15">
        <f>SUM_HEX(C54:F54,B54,3)</f>
        <v>228</v>
      </c>
      <c r="C55" s="16" t="s">
        <v>330</v>
      </c>
      <c r="D55" s="16" t="s">
        <v>330</v>
      </c>
      <c r="E55" s="16" t="s">
        <v>330</v>
      </c>
      <c r="F55" s="16"/>
      <c r="G55" s="47"/>
      <c r="H55" s="47"/>
      <c r="I55" s="24"/>
      <c r="J55" s="18"/>
      <c r="K55" s="18"/>
      <c r="L55" s="25"/>
    </row>
    <row r="56" customHeight="1" spans="1:12">
      <c r="A56" s="14" t="str">
        <f t="shared" si="1"/>
        <v>0x000000F0</v>
      </c>
      <c r="B56" s="15">
        <f>SUM_HEX(C55:F55,B55,3)</f>
        <v>240</v>
      </c>
      <c r="C56" s="16" t="s">
        <v>23</v>
      </c>
      <c r="D56" s="16" t="s">
        <v>23</v>
      </c>
      <c r="E56" s="16" t="s">
        <v>23</v>
      </c>
      <c r="F56" s="16"/>
      <c r="G56" s="47"/>
      <c r="H56" s="47"/>
      <c r="I56" s="24"/>
      <c r="J56" s="18"/>
      <c r="K56" s="18"/>
      <c r="L56" s="25"/>
    </row>
    <row r="57" customHeight="1" spans="1:12">
      <c r="A57" s="14" t="str">
        <f t="shared" si="1"/>
        <v>0x000000FC</v>
      </c>
      <c r="B57" s="15">
        <f>SUM_HEX(C56:F56,B56,3)</f>
        <v>252</v>
      </c>
      <c r="C57" s="16" t="s">
        <v>274</v>
      </c>
      <c r="D57" s="16"/>
      <c r="E57" s="16"/>
      <c r="F57" s="16"/>
      <c r="G57" s="48"/>
      <c r="H57" s="48"/>
      <c r="I57" s="24"/>
      <c r="J57" s="18"/>
      <c r="K57" s="18"/>
      <c r="L57" s="25"/>
    </row>
    <row r="58" customHeight="1" spans="1:12">
      <c r="A58" s="14" t="str">
        <f t="shared" si="1"/>
        <v>0x00000100</v>
      </c>
      <c r="B58" s="15">
        <f>SUM_HEX(C57:F57,B57,3)</f>
        <v>256</v>
      </c>
      <c r="C58" s="16" t="s">
        <v>23</v>
      </c>
      <c r="D58" s="16"/>
      <c r="E58" s="16"/>
      <c r="F58" s="16"/>
      <c r="G58" s="46" t="s">
        <v>157</v>
      </c>
      <c r="H58" s="46" t="s">
        <v>326</v>
      </c>
      <c r="I58" s="24" t="s">
        <v>331</v>
      </c>
      <c r="J58" s="18"/>
      <c r="K58" s="18" t="s">
        <v>332</v>
      </c>
      <c r="L58" s="25" t="s">
        <v>333</v>
      </c>
    </row>
    <row r="59" customHeight="1" spans="1:12">
      <c r="A59" s="14" t="str">
        <f t="shared" si="1"/>
        <v>0x00000104</v>
      </c>
      <c r="B59" s="15">
        <f>SUM_HEX(C58:F58,B58,3)</f>
        <v>260</v>
      </c>
      <c r="C59" s="16" t="s">
        <v>334</v>
      </c>
      <c r="D59" s="16"/>
      <c r="E59" s="16"/>
      <c r="F59" s="16"/>
      <c r="G59" s="47"/>
      <c r="H59" s="47"/>
      <c r="I59" s="24"/>
      <c r="J59" s="18"/>
      <c r="K59" s="18"/>
      <c r="L59" s="25"/>
    </row>
    <row r="60" customHeight="1" spans="1:12">
      <c r="A60" s="14" t="str">
        <f t="shared" si="1"/>
        <v>0x00000108</v>
      </c>
      <c r="B60" s="15">
        <f>SUM_HEX(C59:F59,B59,3)</f>
        <v>264</v>
      </c>
      <c r="C60" s="16" t="s">
        <v>23</v>
      </c>
      <c r="D60" s="16" t="s">
        <v>23</v>
      </c>
      <c r="E60" s="16" t="s">
        <v>23</v>
      </c>
      <c r="F60" s="16"/>
      <c r="G60" s="47"/>
      <c r="H60" s="47"/>
      <c r="I60" s="24"/>
      <c r="J60" s="18"/>
      <c r="K60" s="18"/>
      <c r="L60" s="25"/>
    </row>
    <row r="61" customHeight="1" spans="1:12">
      <c r="A61" s="14" t="str">
        <f t="shared" si="1"/>
        <v>0x00000114</v>
      </c>
      <c r="B61" s="15">
        <f>SUM_HEX(C60:F60,B60,3)</f>
        <v>276</v>
      </c>
      <c r="C61" s="16" t="s">
        <v>23</v>
      </c>
      <c r="D61" s="16" t="s">
        <v>23</v>
      </c>
      <c r="E61" s="16" t="s">
        <v>23</v>
      </c>
      <c r="F61" s="16"/>
      <c r="G61" s="47"/>
      <c r="H61" s="47"/>
      <c r="I61" s="24"/>
      <c r="J61" s="18"/>
      <c r="K61" s="18"/>
      <c r="L61" s="25"/>
    </row>
    <row r="62" customHeight="1" spans="1:12">
      <c r="A62" s="14" t="str">
        <f t="shared" si="1"/>
        <v>0x00000120</v>
      </c>
      <c r="B62" s="15">
        <f>SUM_HEX(C61:F61,B61,3)</f>
        <v>288</v>
      </c>
      <c r="C62" s="16" t="s">
        <v>274</v>
      </c>
      <c r="D62" s="16"/>
      <c r="E62" s="16"/>
      <c r="F62" s="16"/>
      <c r="G62" s="48"/>
      <c r="H62" s="48"/>
      <c r="I62" s="24"/>
      <c r="J62" s="18"/>
      <c r="K62" s="18"/>
      <c r="L62" s="25"/>
    </row>
    <row r="63" customHeight="1" spans="1:12">
      <c r="A63" s="14" t="str">
        <f t="shared" si="1"/>
        <v>0x00000124</v>
      </c>
      <c r="B63" s="15">
        <f>SUM_HEX(C62:F62,B62,3)</f>
        <v>292</v>
      </c>
      <c r="C63" s="16" t="s">
        <v>23</v>
      </c>
      <c r="D63" s="16"/>
      <c r="E63" s="16"/>
      <c r="F63" s="16"/>
      <c r="G63" s="46" t="s">
        <v>157</v>
      </c>
      <c r="H63" s="46" t="s">
        <v>335</v>
      </c>
      <c r="I63" s="24" t="s">
        <v>336</v>
      </c>
      <c r="J63" s="18"/>
      <c r="K63" s="18" t="s">
        <v>337</v>
      </c>
      <c r="L63" s="25"/>
    </row>
    <row r="64" customHeight="1" spans="1:12">
      <c r="A64" s="14" t="str">
        <f t="shared" si="1"/>
        <v>0x00000128</v>
      </c>
      <c r="B64" s="15">
        <f>SUM_HEX(C63:F63,B63,3)</f>
        <v>296</v>
      </c>
      <c r="C64" s="16" t="s">
        <v>338</v>
      </c>
      <c r="D64" s="16"/>
      <c r="E64" s="16"/>
      <c r="F64" s="16"/>
      <c r="G64" s="47"/>
      <c r="H64" s="47"/>
      <c r="I64" s="24"/>
      <c r="J64" s="18"/>
      <c r="K64" s="18"/>
      <c r="L64" s="25"/>
    </row>
    <row r="65" customHeight="1" spans="1:12">
      <c r="A65" s="14" t="str">
        <f t="shared" si="1"/>
        <v>0x0000012C</v>
      </c>
      <c r="B65" s="15">
        <f>SUM_HEX(C64:F64,B64,3)</f>
        <v>300</v>
      </c>
      <c r="C65" s="16" t="s">
        <v>274</v>
      </c>
      <c r="D65" s="16" t="s">
        <v>23</v>
      </c>
      <c r="E65" s="16"/>
      <c r="F65" s="16"/>
      <c r="G65" s="47"/>
      <c r="H65" s="47"/>
      <c r="I65" s="24"/>
      <c r="J65" s="18"/>
      <c r="K65" s="18"/>
      <c r="L65" s="25"/>
    </row>
    <row r="66" customHeight="1" spans="1:12">
      <c r="A66" s="14" t="str">
        <f t="shared" si="1"/>
        <v>0x00000134</v>
      </c>
      <c r="B66" s="15">
        <f>SUM_HEX(C65:F65,B65,3)</f>
        <v>308</v>
      </c>
      <c r="C66" s="16" t="s">
        <v>274</v>
      </c>
      <c r="D66" s="16"/>
      <c r="E66" s="16"/>
      <c r="F66" s="16"/>
      <c r="G66" s="48"/>
      <c r="H66" s="48"/>
      <c r="I66" s="24"/>
      <c r="J66" s="18"/>
      <c r="K66" s="18"/>
      <c r="L66" s="25"/>
    </row>
    <row r="67" customHeight="1" spans="1:12">
      <c r="A67" s="14" t="str">
        <f t="shared" si="1"/>
        <v>0x00000138</v>
      </c>
      <c r="B67" s="15">
        <f>SUM_HEX(C66:F66,B66,3)</f>
        <v>312</v>
      </c>
      <c r="C67" s="16" t="s">
        <v>23</v>
      </c>
      <c r="D67" s="16"/>
      <c r="E67" s="16"/>
      <c r="F67" s="16"/>
      <c r="G67" s="46" t="s">
        <v>157</v>
      </c>
      <c r="H67" s="46" t="s">
        <v>335</v>
      </c>
      <c r="I67" s="24" t="s">
        <v>339</v>
      </c>
      <c r="J67" s="18"/>
      <c r="K67" s="18" t="s">
        <v>337</v>
      </c>
      <c r="L67" s="25"/>
    </row>
    <row r="68" customHeight="1" spans="1:12">
      <c r="A68" s="14" t="str">
        <f t="shared" si="1"/>
        <v>0x0000013C</v>
      </c>
      <c r="B68" s="15">
        <f>SUM_HEX(C67:F67,B67,3)</f>
        <v>316</v>
      </c>
      <c r="C68" s="16" t="s">
        <v>340</v>
      </c>
      <c r="D68" s="16"/>
      <c r="E68" s="16"/>
      <c r="F68" s="16"/>
      <c r="G68" s="47"/>
      <c r="H68" s="47"/>
      <c r="I68" s="24"/>
      <c r="J68" s="18"/>
      <c r="K68" s="18"/>
      <c r="L68" s="25"/>
    </row>
    <row r="69" customHeight="1" spans="1:12">
      <c r="A69" s="14" t="str">
        <f t="shared" si="1"/>
        <v>0x00000140</v>
      </c>
      <c r="B69" s="15">
        <f>SUM_HEX(C68:F68,B68,3)</f>
        <v>320</v>
      </c>
      <c r="C69" s="16" t="s">
        <v>274</v>
      </c>
      <c r="D69" s="16" t="s">
        <v>23</v>
      </c>
      <c r="E69" s="16"/>
      <c r="F69" s="16"/>
      <c r="G69" s="47"/>
      <c r="H69" s="47"/>
      <c r="I69" s="24"/>
      <c r="J69" s="18"/>
      <c r="K69" s="18"/>
      <c r="L69" s="25"/>
    </row>
    <row r="70" customHeight="1" spans="1:12">
      <c r="A70" s="14" t="str">
        <f t="shared" si="1"/>
        <v>0x00000148</v>
      </c>
      <c r="B70" s="15">
        <f>SUM_HEX(C69:F69,B69,3)</f>
        <v>328</v>
      </c>
      <c r="C70" s="16" t="s">
        <v>274</v>
      </c>
      <c r="D70" s="16"/>
      <c r="E70" s="16"/>
      <c r="F70" s="16"/>
      <c r="G70" s="48"/>
      <c r="H70" s="48"/>
      <c r="I70" s="24"/>
      <c r="J70" s="18"/>
      <c r="K70" s="18"/>
      <c r="L70" s="25"/>
    </row>
    <row r="71" customHeight="1" spans="1:12">
      <c r="A71" s="14" t="str">
        <f t="shared" si="1"/>
        <v>0x0000014C</v>
      </c>
      <c r="B71" s="15">
        <f>SUM_HEX(C70:F70,B70,3)</f>
        <v>332</v>
      </c>
      <c r="C71" s="16" t="s">
        <v>23</v>
      </c>
      <c r="D71" s="16"/>
      <c r="E71" s="16"/>
      <c r="F71" s="16"/>
      <c r="G71" s="46" t="s">
        <v>157</v>
      </c>
      <c r="H71" s="46" t="s">
        <v>335</v>
      </c>
      <c r="I71" s="24" t="s">
        <v>341</v>
      </c>
      <c r="J71" s="18"/>
      <c r="K71" s="18" t="s">
        <v>337</v>
      </c>
      <c r="L71" s="25"/>
    </row>
    <row r="72" customHeight="1" spans="1:12">
      <c r="A72" s="14" t="str">
        <f t="shared" si="1"/>
        <v>0x00000150</v>
      </c>
      <c r="B72" s="15">
        <f>SUM_HEX(C71:F71,B71,3)</f>
        <v>336</v>
      </c>
      <c r="C72" s="16" t="s">
        <v>342</v>
      </c>
      <c r="D72" s="16"/>
      <c r="E72" s="16"/>
      <c r="F72" s="16"/>
      <c r="G72" s="47"/>
      <c r="H72" s="47"/>
      <c r="I72" s="24"/>
      <c r="J72" s="18"/>
      <c r="K72" s="18"/>
      <c r="L72" s="25"/>
    </row>
    <row r="73" customHeight="1" spans="1:12">
      <c r="A73" s="14" t="str">
        <f t="shared" si="1"/>
        <v>0x00000154</v>
      </c>
      <c r="B73" s="15">
        <f>SUM_HEX(C72:F72,B72,3)</f>
        <v>340</v>
      </c>
      <c r="C73" s="16" t="s">
        <v>274</v>
      </c>
      <c r="D73" s="16" t="s">
        <v>23</v>
      </c>
      <c r="E73" s="16"/>
      <c r="F73" s="16"/>
      <c r="G73" s="47"/>
      <c r="H73" s="47"/>
      <c r="I73" s="24"/>
      <c r="J73" s="18"/>
      <c r="K73" s="18"/>
      <c r="L73" s="25"/>
    </row>
    <row r="74" customHeight="1" spans="1:12">
      <c r="A74" s="14" t="str">
        <f t="shared" si="1"/>
        <v>0x0000015C</v>
      </c>
      <c r="B74" s="15">
        <f>SUM_HEX(C73:F73,B73,3)</f>
        <v>348</v>
      </c>
      <c r="C74" s="16" t="s">
        <v>274</v>
      </c>
      <c r="D74" s="16"/>
      <c r="E74" s="16"/>
      <c r="F74" s="16"/>
      <c r="G74" s="48"/>
      <c r="H74" s="48"/>
      <c r="I74" s="24"/>
      <c r="J74" s="18"/>
      <c r="K74" s="18"/>
      <c r="L74" s="25"/>
    </row>
    <row r="75" customHeight="1" spans="1:12">
      <c r="A75" s="14" t="str">
        <f t="shared" si="1"/>
        <v>0x00000160</v>
      </c>
      <c r="B75" s="15">
        <f>SUM_HEX(C74:F74,B74,3)</f>
        <v>352</v>
      </c>
      <c r="C75" s="16" t="s">
        <v>23</v>
      </c>
      <c r="D75" s="16"/>
      <c r="E75" s="16"/>
      <c r="F75" s="16"/>
      <c r="G75" s="18" t="s">
        <v>212</v>
      </c>
      <c r="H75" s="18"/>
      <c r="I75" s="24" t="s">
        <v>343</v>
      </c>
      <c r="J75" s="50"/>
      <c r="K75" s="18" t="s">
        <v>344</v>
      </c>
      <c r="L75" s="25"/>
    </row>
    <row r="76" customHeight="1" spans="1:12">
      <c r="A76" s="14" t="str">
        <f t="shared" si="1"/>
        <v>0x00000164</v>
      </c>
      <c r="B76" s="15">
        <f>SUM_HEX(C75:F75,B75,3)</f>
        <v>356</v>
      </c>
      <c r="C76" s="16" t="s">
        <v>148</v>
      </c>
      <c r="D76" s="16"/>
      <c r="E76" s="16"/>
      <c r="F76" s="16"/>
      <c r="G76" s="18" t="s">
        <v>212</v>
      </c>
      <c r="H76" s="18"/>
      <c r="I76" s="24" t="s">
        <v>345</v>
      </c>
      <c r="J76" s="50"/>
      <c r="K76" s="18" t="s">
        <v>346</v>
      </c>
      <c r="L76" s="25"/>
    </row>
    <row r="77" customHeight="1" spans="1:12">
      <c r="A77" s="14" t="str">
        <f t="shared" si="1"/>
        <v>0x00000168</v>
      </c>
      <c r="B77" s="15">
        <f>SUM_HEX(C76:F76,B76,3)</f>
        <v>360</v>
      </c>
      <c r="C77" s="16" t="s">
        <v>148</v>
      </c>
      <c r="D77" s="16"/>
      <c r="E77" s="16"/>
      <c r="F77" s="16"/>
      <c r="G77" s="18" t="s">
        <v>212</v>
      </c>
      <c r="H77" s="18"/>
      <c r="I77" s="24" t="s">
        <v>347</v>
      </c>
      <c r="J77" s="50"/>
      <c r="K77" s="18" t="s">
        <v>346</v>
      </c>
      <c r="L77" s="25"/>
    </row>
    <row r="78" customHeight="1" spans="1:12">
      <c r="A78" s="14" t="str">
        <f t="shared" si="1"/>
        <v>0x0000016C</v>
      </c>
      <c r="B78" s="15">
        <f>SUM_HEX(C77:F77,B77,3)</f>
        <v>364</v>
      </c>
      <c r="C78" s="16" t="s">
        <v>23</v>
      </c>
      <c r="D78" s="16"/>
      <c r="E78" s="16"/>
      <c r="F78" s="16"/>
      <c r="G78" s="18" t="s">
        <v>212</v>
      </c>
      <c r="H78" s="18"/>
      <c r="I78" s="24" t="s">
        <v>348</v>
      </c>
      <c r="J78" s="50"/>
      <c r="K78" s="18"/>
      <c r="L78" s="25"/>
    </row>
    <row r="79" customHeight="1" spans="1:12">
      <c r="A79" s="14" t="str">
        <f t="shared" si="1"/>
        <v>0x00000170</v>
      </c>
      <c r="B79" s="15">
        <f>SUM_HEX(C78:F78,B78,3)</f>
        <v>368</v>
      </c>
      <c r="C79" s="16" t="s">
        <v>23</v>
      </c>
      <c r="D79" s="16"/>
      <c r="E79" s="16"/>
      <c r="F79" s="16"/>
      <c r="G79" s="18" t="s">
        <v>33</v>
      </c>
      <c r="H79" s="18"/>
      <c r="I79" s="24" t="s">
        <v>349</v>
      </c>
      <c r="J79" s="18"/>
      <c r="K79" s="18"/>
      <c r="L79" s="25"/>
    </row>
    <row r="80" customHeight="1" spans="1:12">
      <c r="A80" s="14" t="str">
        <f t="shared" si="1"/>
        <v>0x00000174</v>
      </c>
      <c r="B80" s="15">
        <f>SUM_HEX(C79:F79,B79,3)</f>
        <v>372</v>
      </c>
      <c r="C80" s="16" t="s">
        <v>23</v>
      </c>
      <c r="D80" s="16"/>
      <c r="E80" s="16"/>
      <c r="F80" s="16"/>
      <c r="G80" s="17"/>
      <c r="H80" s="17"/>
      <c r="I80" s="22"/>
      <c r="J80" s="17"/>
      <c r="K80" s="17"/>
      <c r="L80" s="23"/>
    </row>
    <row r="81" customHeight="1" spans="1:12">
      <c r="A81" s="14" t="str">
        <f t="shared" si="1"/>
        <v>0x00000178</v>
      </c>
      <c r="B81" s="15">
        <f>SUM_HEX(C80:F80,B80,3)</f>
        <v>376</v>
      </c>
      <c r="C81" s="16" t="s">
        <v>23</v>
      </c>
      <c r="D81" s="16"/>
      <c r="E81" s="16"/>
      <c r="F81" s="16"/>
      <c r="G81" s="18" t="s">
        <v>212</v>
      </c>
      <c r="H81" s="18"/>
      <c r="I81" s="24" t="s">
        <v>350</v>
      </c>
      <c r="J81" s="18"/>
      <c r="K81" s="18"/>
      <c r="L81" s="25" t="s">
        <v>272</v>
      </c>
    </row>
    <row r="82" customHeight="1" spans="1:12">
      <c r="A82" s="14" t="str">
        <f t="shared" si="1"/>
        <v>0x0000017C</v>
      </c>
      <c r="B82" s="15">
        <f>SUM_HEX(C81:F81,B81,3)</f>
        <v>380</v>
      </c>
      <c r="C82" s="16" t="s">
        <v>23</v>
      </c>
      <c r="D82" s="16"/>
      <c r="E82" s="16"/>
      <c r="F82" s="16"/>
      <c r="G82" s="18" t="s">
        <v>212</v>
      </c>
      <c r="H82" s="18"/>
      <c r="I82" s="24" t="s">
        <v>351</v>
      </c>
      <c r="J82" s="18"/>
      <c r="K82" s="18"/>
      <c r="L82" s="25"/>
    </row>
    <row r="83" customHeight="1" spans="1:12">
      <c r="A83" s="14" t="str">
        <f t="shared" si="1"/>
        <v>0x00000180</v>
      </c>
      <c r="B83" s="15">
        <f>SUM_HEX(C82:F82,B82,3)</f>
        <v>384</v>
      </c>
      <c r="C83" s="16" t="s">
        <v>23</v>
      </c>
      <c r="D83" s="16"/>
      <c r="E83" s="16"/>
      <c r="F83" s="16"/>
      <c r="G83" s="18" t="s">
        <v>212</v>
      </c>
      <c r="H83" s="18"/>
      <c r="I83" s="24" t="s">
        <v>352</v>
      </c>
      <c r="J83" s="18"/>
      <c r="K83" s="18"/>
      <c r="L83" s="25"/>
    </row>
    <row r="84" customHeight="1" spans="1:12">
      <c r="A84" s="14" t="str">
        <f t="shared" si="1"/>
        <v>0x00000184</v>
      </c>
      <c r="B84" s="15">
        <f>SUM_HEX(C83:F83,B83,3)</f>
        <v>388</v>
      </c>
      <c r="C84" s="16" t="s">
        <v>353</v>
      </c>
      <c r="D84" s="16"/>
      <c r="E84" s="16"/>
      <c r="F84" s="16"/>
      <c r="G84" s="18" t="s">
        <v>212</v>
      </c>
      <c r="H84" s="18"/>
      <c r="I84" s="24" t="s">
        <v>354</v>
      </c>
      <c r="J84" s="18"/>
      <c r="K84" s="18"/>
      <c r="L84" s="25"/>
    </row>
    <row r="85" customHeight="1" spans="1:12">
      <c r="A85" s="14" t="str">
        <f t="shared" si="1"/>
        <v>0x00000188</v>
      </c>
      <c r="B85" s="15">
        <f>SUM_HEX(C84:F84,B84,3)</f>
        <v>392</v>
      </c>
      <c r="C85" s="16" t="s">
        <v>29</v>
      </c>
      <c r="D85" s="16"/>
      <c r="E85" s="16"/>
      <c r="F85" s="16"/>
      <c r="G85" s="18" t="s">
        <v>15</v>
      </c>
      <c r="H85" s="18"/>
      <c r="I85" s="24"/>
      <c r="J85" s="18"/>
      <c r="K85" s="18"/>
      <c r="L85" s="25"/>
    </row>
    <row r="86" customHeight="1" spans="1:12">
      <c r="A86" s="14" t="str">
        <f t="shared" si="1"/>
        <v>0x0000018C</v>
      </c>
      <c r="B86" s="15">
        <f>SUM_HEX(C85:F85,B85,3)</f>
        <v>396</v>
      </c>
      <c r="C86" s="16" t="s">
        <v>355</v>
      </c>
      <c r="D86" s="16"/>
      <c r="E86" s="16"/>
      <c r="F86" s="16"/>
      <c r="G86" s="18" t="s">
        <v>15</v>
      </c>
      <c r="H86" s="18"/>
      <c r="I86" s="24" t="s">
        <v>356</v>
      </c>
      <c r="J86" s="18"/>
      <c r="K86" s="18"/>
      <c r="L86" s="25"/>
    </row>
    <row r="87" customHeight="1" spans="1:12">
      <c r="A87" s="14" t="str">
        <f t="shared" si="1"/>
        <v>0x00000190</v>
      </c>
      <c r="B87" s="15">
        <f>SUM_HEX(C86:F86,B86,3)</f>
        <v>400</v>
      </c>
      <c r="C87" s="16" t="s">
        <v>23</v>
      </c>
      <c r="D87" s="16"/>
      <c r="E87" s="16"/>
      <c r="F87" s="16"/>
      <c r="G87" s="46" t="s">
        <v>157</v>
      </c>
      <c r="H87" s="46" t="s">
        <v>212</v>
      </c>
      <c r="I87" s="18" t="s">
        <v>357</v>
      </c>
      <c r="J87" s="18"/>
      <c r="K87" s="18"/>
      <c r="L87" s="25"/>
    </row>
    <row r="88" customHeight="1" spans="1:12">
      <c r="A88" s="14" t="str">
        <f t="shared" si="1"/>
        <v>0x00000194</v>
      </c>
      <c r="B88" s="15">
        <f>SUM_HEX(C87:F87,B87,3)</f>
        <v>404</v>
      </c>
      <c r="C88" s="16" t="s">
        <v>358</v>
      </c>
      <c r="D88" s="16"/>
      <c r="E88" s="16"/>
      <c r="F88" s="16"/>
      <c r="G88" s="47"/>
      <c r="H88" s="47"/>
      <c r="I88" s="18"/>
      <c r="J88" s="18"/>
      <c r="K88" s="18"/>
      <c r="L88" s="25"/>
    </row>
    <row r="89" customHeight="1" spans="1:12">
      <c r="A89" s="14" t="str">
        <f t="shared" si="1"/>
        <v>0x00000198</v>
      </c>
      <c r="B89" s="15">
        <f>SUM_HEX(C88:F88,B88,3)</f>
        <v>408</v>
      </c>
      <c r="C89" s="16" t="s">
        <v>359</v>
      </c>
      <c r="D89" s="16" t="s">
        <v>23</v>
      </c>
      <c r="E89" s="16"/>
      <c r="F89" s="16"/>
      <c r="G89" s="47"/>
      <c r="H89" s="47"/>
      <c r="I89" s="18"/>
      <c r="J89" s="18"/>
      <c r="K89" s="18"/>
      <c r="L89" s="25"/>
    </row>
    <row r="90" customHeight="1" spans="1:12">
      <c r="A90" s="14" t="str">
        <f t="shared" si="1"/>
        <v>0x000001A0</v>
      </c>
      <c r="B90" s="15">
        <f>SUM_HEX(C89:F89,B89,3)</f>
        <v>416</v>
      </c>
      <c r="C90" s="16" t="s">
        <v>274</v>
      </c>
      <c r="D90" s="16"/>
      <c r="E90" s="16"/>
      <c r="F90" s="16"/>
      <c r="G90" s="48"/>
      <c r="H90" s="48"/>
      <c r="I90" s="18"/>
      <c r="J90" s="18"/>
      <c r="K90" s="18"/>
      <c r="L90" s="25"/>
    </row>
    <row r="91" customHeight="1" spans="1:12">
      <c r="A91" s="14" t="str">
        <f t="shared" si="1"/>
        <v>0x000001A4</v>
      </c>
      <c r="B91" s="15">
        <f>SUM_HEX(C90:F90,B90,3)</f>
        <v>420</v>
      </c>
      <c r="C91" s="16" t="s">
        <v>23</v>
      </c>
      <c r="D91" s="16"/>
      <c r="E91" s="16"/>
      <c r="F91" s="16"/>
      <c r="G91" s="18" t="s">
        <v>15</v>
      </c>
      <c r="H91" s="18"/>
      <c r="I91" s="24" t="s">
        <v>360</v>
      </c>
      <c r="J91" s="18"/>
      <c r="K91" s="18"/>
      <c r="L91" s="25"/>
    </row>
    <row r="92" customHeight="1" spans="1:12">
      <c r="A92" s="14" t="str">
        <f t="shared" si="1"/>
        <v>0x000001A8</v>
      </c>
      <c r="B92" s="15">
        <f>SUM_HEX(C91:F91,B91,3)</f>
        <v>424</v>
      </c>
      <c r="C92" s="16" t="s">
        <v>23</v>
      </c>
      <c r="D92" s="16"/>
      <c r="E92" s="16"/>
      <c r="F92" s="16"/>
      <c r="G92" s="46" t="s">
        <v>157</v>
      </c>
      <c r="H92" s="46" t="s">
        <v>326</v>
      </c>
      <c r="I92" s="24" t="s">
        <v>361</v>
      </c>
      <c r="J92" s="18"/>
      <c r="K92" s="18"/>
      <c r="L92" s="25" t="s">
        <v>272</v>
      </c>
    </row>
    <row r="93" customHeight="1" spans="1:12">
      <c r="A93" s="14" t="str">
        <f t="shared" si="1"/>
        <v>0x000001AC</v>
      </c>
      <c r="B93" s="15">
        <f>SUM_HEX(C92:F92,B92,3)</f>
        <v>428</v>
      </c>
      <c r="C93" s="16" t="s">
        <v>362</v>
      </c>
      <c r="D93" s="16"/>
      <c r="E93" s="16"/>
      <c r="F93" s="16"/>
      <c r="G93" s="47"/>
      <c r="H93" s="47"/>
      <c r="I93" s="18"/>
      <c r="J93" s="18"/>
      <c r="K93" s="18"/>
      <c r="L93" s="25"/>
    </row>
    <row r="94" customHeight="1" spans="1:12">
      <c r="A94" s="14" t="str">
        <f t="shared" si="1"/>
        <v>0x000001B0</v>
      </c>
      <c r="B94" s="15">
        <f>SUM_HEX(C93:F93,B93,3)</f>
        <v>432</v>
      </c>
      <c r="C94" s="16" t="s">
        <v>330</v>
      </c>
      <c r="D94" s="16" t="s">
        <v>330</v>
      </c>
      <c r="E94" s="16" t="s">
        <v>330</v>
      </c>
      <c r="F94" s="16"/>
      <c r="G94" s="47"/>
      <c r="H94" s="47"/>
      <c r="I94" s="18"/>
      <c r="J94" s="18"/>
      <c r="K94" s="18"/>
      <c r="L94" s="25"/>
    </row>
    <row r="95" customHeight="1" spans="1:12">
      <c r="A95" s="14" t="str">
        <f t="shared" ref="A95:A148" si="2">"0x"&amp;DEC2HEX(B95,8)</f>
        <v>0x000001BC</v>
      </c>
      <c r="B95" s="15">
        <f>SUM_HEX(C94:F94,B94,3)</f>
        <v>444</v>
      </c>
      <c r="C95" s="16" t="s">
        <v>23</v>
      </c>
      <c r="D95" s="16" t="s">
        <v>23</v>
      </c>
      <c r="E95" s="16" t="s">
        <v>23</v>
      </c>
      <c r="F95" s="16"/>
      <c r="G95" s="47"/>
      <c r="H95" s="47"/>
      <c r="I95" s="18"/>
      <c r="J95" s="18"/>
      <c r="K95" s="18"/>
      <c r="L95" s="25"/>
    </row>
    <row r="96" customHeight="1" spans="1:12">
      <c r="A96" s="14" t="str">
        <f t="shared" si="2"/>
        <v>0x000001C8</v>
      </c>
      <c r="B96" s="15">
        <f>SUM_HEX(C95:F95,B95,3)</f>
        <v>456</v>
      </c>
      <c r="C96" s="16" t="s">
        <v>274</v>
      </c>
      <c r="D96" s="16"/>
      <c r="E96" s="16"/>
      <c r="F96" s="16"/>
      <c r="G96" s="48"/>
      <c r="H96" s="48"/>
      <c r="I96" s="18"/>
      <c r="J96" s="18"/>
      <c r="K96" s="18"/>
      <c r="L96" s="25"/>
    </row>
    <row r="97" customHeight="1" spans="1:12">
      <c r="A97" s="14" t="str">
        <f t="shared" si="2"/>
        <v>0x000001CC</v>
      </c>
      <c r="B97" s="15">
        <f>SUM_HEX(C96:F96,B96,3)</f>
        <v>460</v>
      </c>
      <c r="C97" s="16" t="s">
        <v>23</v>
      </c>
      <c r="D97" s="16"/>
      <c r="E97" s="16"/>
      <c r="F97" s="16"/>
      <c r="G97" s="46" t="s">
        <v>157</v>
      </c>
      <c r="H97" s="46" t="s">
        <v>326</v>
      </c>
      <c r="I97" s="24" t="s">
        <v>363</v>
      </c>
      <c r="J97" s="18"/>
      <c r="K97" s="18"/>
      <c r="L97" s="25" t="s">
        <v>272</v>
      </c>
    </row>
    <row r="98" customHeight="1" spans="1:12">
      <c r="A98" s="14" t="str">
        <f t="shared" si="2"/>
        <v>0x000001D0</v>
      </c>
      <c r="B98" s="15">
        <f>SUM_HEX(C97:F97,B97,3)</f>
        <v>464</v>
      </c>
      <c r="C98" s="16" t="s">
        <v>364</v>
      </c>
      <c r="D98" s="16"/>
      <c r="E98" s="16"/>
      <c r="F98" s="16"/>
      <c r="G98" s="47"/>
      <c r="H98" s="47"/>
      <c r="I98" s="18"/>
      <c r="J98" s="18"/>
      <c r="K98" s="18"/>
      <c r="L98" s="25"/>
    </row>
    <row r="99" customHeight="1" spans="1:12">
      <c r="A99" s="14" t="str">
        <f t="shared" si="2"/>
        <v>0x000001D4</v>
      </c>
      <c r="B99" s="15">
        <f>SUM_HEX(C98:F98,B98,3)</f>
        <v>468</v>
      </c>
      <c r="C99" s="16" t="s">
        <v>330</v>
      </c>
      <c r="D99" s="16" t="s">
        <v>330</v>
      </c>
      <c r="E99" s="16" t="s">
        <v>330</v>
      </c>
      <c r="F99" s="16"/>
      <c r="G99" s="47"/>
      <c r="H99" s="47"/>
      <c r="I99" s="18"/>
      <c r="J99" s="18"/>
      <c r="K99" s="18"/>
      <c r="L99" s="25"/>
    </row>
    <row r="100" customHeight="1" spans="1:12">
      <c r="A100" s="14" t="str">
        <f t="shared" si="2"/>
        <v>0x000001E0</v>
      </c>
      <c r="B100" s="15">
        <f>SUM_HEX(C99:F99,B99,3)</f>
        <v>480</v>
      </c>
      <c r="C100" s="16" t="s">
        <v>23</v>
      </c>
      <c r="D100" s="16" t="s">
        <v>23</v>
      </c>
      <c r="E100" s="16" t="s">
        <v>23</v>
      </c>
      <c r="F100" s="16"/>
      <c r="G100" s="47"/>
      <c r="H100" s="47"/>
      <c r="I100" s="18"/>
      <c r="J100" s="18"/>
      <c r="K100" s="18"/>
      <c r="L100" s="25"/>
    </row>
    <row r="101" customHeight="1" spans="1:12">
      <c r="A101" s="14" t="str">
        <f t="shared" si="2"/>
        <v>0x000001EC</v>
      </c>
      <c r="B101" s="15">
        <f>SUM_HEX(C100:F100,B100,3)</f>
        <v>492</v>
      </c>
      <c r="C101" s="16" t="s">
        <v>274</v>
      </c>
      <c r="D101" s="16"/>
      <c r="E101" s="16"/>
      <c r="F101" s="16"/>
      <c r="G101" s="48"/>
      <c r="H101" s="48"/>
      <c r="I101" s="18"/>
      <c r="J101" s="18"/>
      <c r="K101" s="18"/>
      <c r="L101" s="25"/>
    </row>
    <row r="102" customHeight="1" spans="1:12">
      <c r="A102" s="14" t="str">
        <f t="shared" si="2"/>
        <v>0x000001F0</v>
      </c>
      <c r="B102" s="15">
        <f>SUM_HEX(C101:F101,B101,3)</f>
        <v>496</v>
      </c>
      <c r="C102" s="16" t="s">
        <v>23</v>
      </c>
      <c r="D102" s="16"/>
      <c r="E102" s="16"/>
      <c r="F102" s="16"/>
      <c r="G102" s="46" t="s">
        <v>157</v>
      </c>
      <c r="H102" s="46" t="s">
        <v>212</v>
      </c>
      <c r="I102" s="18" t="s">
        <v>365</v>
      </c>
      <c r="J102" s="18"/>
      <c r="K102" s="18"/>
      <c r="L102" s="25" t="s">
        <v>272</v>
      </c>
    </row>
    <row r="103" customHeight="1" spans="1:12">
      <c r="A103" s="14" t="str">
        <f t="shared" si="2"/>
        <v>0x000001F4</v>
      </c>
      <c r="B103" s="15">
        <f>SUM_HEX(C102:F102,B102,3)</f>
        <v>500</v>
      </c>
      <c r="C103" s="16" t="s">
        <v>366</v>
      </c>
      <c r="D103" s="16"/>
      <c r="E103" s="16"/>
      <c r="F103" s="16"/>
      <c r="G103" s="47"/>
      <c r="H103" s="47"/>
      <c r="I103" s="18"/>
      <c r="J103" s="18"/>
      <c r="K103" s="18"/>
      <c r="L103" s="25"/>
    </row>
    <row r="104" customHeight="1" spans="1:12">
      <c r="A104" s="14" t="str">
        <f t="shared" si="2"/>
        <v>0x000001F8</v>
      </c>
      <c r="B104" s="15">
        <f>SUM_HEX(C103:F103,B103,3)</f>
        <v>504</v>
      </c>
      <c r="C104" s="16" t="s">
        <v>330</v>
      </c>
      <c r="D104" s="16" t="s">
        <v>23</v>
      </c>
      <c r="E104" s="16"/>
      <c r="F104" s="16"/>
      <c r="G104" s="47"/>
      <c r="H104" s="47"/>
      <c r="I104" s="18"/>
      <c r="J104" s="18"/>
      <c r="K104" s="18"/>
      <c r="L104" s="25"/>
    </row>
    <row r="105" customHeight="1" spans="1:12">
      <c r="A105" s="14" t="str">
        <f t="shared" si="2"/>
        <v>0x00000200</v>
      </c>
      <c r="B105" s="15">
        <f>SUM_HEX(C104:F104,B104,3)</f>
        <v>512</v>
      </c>
      <c r="C105" s="16" t="s">
        <v>274</v>
      </c>
      <c r="D105" s="16"/>
      <c r="E105" s="16"/>
      <c r="F105" s="16"/>
      <c r="G105" s="48"/>
      <c r="H105" s="48"/>
      <c r="I105" s="18"/>
      <c r="J105" s="18"/>
      <c r="K105" s="18"/>
      <c r="L105" s="25"/>
    </row>
    <row r="106" customHeight="1" spans="1:12">
      <c r="A106" s="14" t="str">
        <f t="shared" si="2"/>
        <v>0x00000204</v>
      </c>
      <c r="B106" s="15">
        <f>SUM_HEX(C105:F105,B105,3)</f>
        <v>516</v>
      </c>
      <c r="C106" s="16" t="s">
        <v>23</v>
      </c>
      <c r="D106" s="16"/>
      <c r="E106" s="16"/>
      <c r="F106" s="16"/>
      <c r="G106" s="46" t="s">
        <v>157</v>
      </c>
      <c r="H106" s="46" t="s">
        <v>212</v>
      </c>
      <c r="I106" s="18" t="s">
        <v>367</v>
      </c>
      <c r="J106" s="18"/>
      <c r="K106" s="18"/>
      <c r="L106" s="25" t="s">
        <v>272</v>
      </c>
    </row>
    <row r="107" customHeight="1" spans="1:12">
      <c r="A107" s="14" t="str">
        <f t="shared" si="2"/>
        <v>0x00000208</v>
      </c>
      <c r="B107" s="15">
        <f>SUM_HEX(C106:F106,B106,3)</f>
        <v>520</v>
      </c>
      <c r="C107" s="16" t="s">
        <v>368</v>
      </c>
      <c r="D107" s="16"/>
      <c r="E107" s="16"/>
      <c r="F107" s="16"/>
      <c r="G107" s="47"/>
      <c r="H107" s="47"/>
      <c r="I107" s="18"/>
      <c r="J107" s="18"/>
      <c r="K107" s="18"/>
      <c r="L107" s="25"/>
    </row>
    <row r="108" customHeight="1" spans="1:12">
      <c r="A108" s="14" t="str">
        <f t="shared" si="2"/>
        <v>0x0000020C</v>
      </c>
      <c r="B108" s="15">
        <f>SUM_HEX(C107:F107,B107,3)</f>
        <v>524</v>
      </c>
      <c r="C108" s="16" t="s">
        <v>330</v>
      </c>
      <c r="D108" s="16" t="s">
        <v>23</v>
      </c>
      <c r="E108" s="16"/>
      <c r="F108" s="16"/>
      <c r="G108" s="47"/>
      <c r="H108" s="47"/>
      <c r="I108" s="18"/>
      <c r="J108" s="18"/>
      <c r="K108" s="18"/>
      <c r="L108" s="25"/>
    </row>
    <row r="109" customHeight="1" spans="1:12">
      <c r="A109" s="14" t="str">
        <f t="shared" si="2"/>
        <v>0x00000214</v>
      </c>
      <c r="B109" s="15">
        <f>SUM_HEX(C108:F108,B108,3)</f>
        <v>532</v>
      </c>
      <c r="C109" s="16" t="s">
        <v>274</v>
      </c>
      <c r="D109" s="16"/>
      <c r="E109" s="16"/>
      <c r="F109" s="16"/>
      <c r="G109" s="48"/>
      <c r="H109" s="48"/>
      <c r="I109" s="18"/>
      <c r="J109" s="18"/>
      <c r="K109" s="18"/>
      <c r="L109" s="25"/>
    </row>
    <row r="110" customHeight="1" spans="1:12">
      <c r="A110" s="14" t="str">
        <f t="shared" si="2"/>
        <v>0x00000218</v>
      </c>
      <c r="B110" s="15">
        <f>SUM_HEX(C109:F109,B109,3)</f>
        <v>536</v>
      </c>
      <c r="C110" s="16" t="s">
        <v>23</v>
      </c>
      <c r="D110" s="16" t="s">
        <v>23</v>
      </c>
      <c r="E110" s="16" t="s">
        <v>23</v>
      </c>
      <c r="F110" s="16"/>
      <c r="G110" s="18" t="s">
        <v>24</v>
      </c>
      <c r="H110" s="18" t="s">
        <v>369</v>
      </c>
      <c r="I110" s="24" t="s">
        <v>370</v>
      </c>
      <c r="J110" s="18"/>
      <c r="K110" s="18"/>
      <c r="L110" s="25"/>
    </row>
    <row r="111" customHeight="1" spans="1:12">
      <c r="A111" s="14" t="str">
        <f t="shared" si="2"/>
        <v>0x00000224</v>
      </c>
      <c r="B111" s="15">
        <f>SUM_HEX(C110:F110,B110,3)</f>
        <v>548</v>
      </c>
      <c r="C111" s="16" t="s">
        <v>23</v>
      </c>
      <c r="D111" s="16"/>
      <c r="E111" s="16"/>
      <c r="F111" s="16"/>
      <c r="G111" s="18" t="s">
        <v>15</v>
      </c>
      <c r="H111" s="18"/>
      <c r="I111" s="24" t="s">
        <v>371</v>
      </c>
      <c r="J111" s="18"/>
      <c r="K111" s="18" t="s">
        <v>372</v>
      </c>
      <c r="L111" s="25"/>
    </row>
    <row r="112" customHeight="1" spans="1:12">
      <c r="A112" s="14" t="str">
        <f t="shared" si="2"/>
        <v>0x00000228</v>
      </c>
      <c r="B112" s="15">
        <f>SUM_HEX(C111:F111,B111,3)</f>
        <v>552</v>
      </c>
      <c r="C112" s="16" t="s">
        <v>23</v>
      </c>
      <c r="D112" s="16"/>
      <c r="E112" s="16"/>
      <c r="F112" s="16"/>
      <c r="G112" s="18" t="s">
        <v>15</v>
      </c>
      <c r="H112" s="18"/>
      <c r="I112" s="24" t="s">
        <v>373</v>
      </c>
      <c r="J112" s="18"/>
      <c r="K112" s="18" t="s">
        <v>318</v>
      </c>
      <c r="L112" s="25" t="s">
        <v>374</v>
      </c>
    </row>
    <row r="113" customHeight="1" spans="1:12">
      <c r="A113" s="14" t="str">
        <f t="shared" si="2"/>
        <v>0x0000022C</v>
      </c>
      <c r="B113" s="15">
        <f>SUM_HEX(C112:F112,B112,3)</f>
        <v>556</v>
      </c>
      <c r="C113" s="16" t="s">
        <v>23</v>
      </c>
      <c r="D113" s="16"/>
      <c r="E113" s="16"/>
      <c r="F113" s="16"/>
      <c r="G113" s="46" t="s">
        <v>157</v>
      </c>
      <c r="H113" s="46" t="s">
        <v>326</v>
      </c>
      <c r="I113" s="24" t="s">
        <v>375</v>
      </c>
      <c r="J113" s="18"/>
      <c r="K113" s="18" t="s">
        <v>328</v>
      </c>
      <c r="L113" s="25" t="s">
        <v>272</v>
      </c>
    </row>
    <row r="114" customHeight="1" spans="1:12">
      <c r="A114" s="14" t="str">
        <f t="shared" si="2"/>
        <v>0x00000230</v>
      </c>
      <c r="B114" s="15">
        <f>SUM_HEX(C113:F113,B113,3)</f>
        <v>560</v>
      </c>
      <c r="C114" s="16" t="s">
        <v>376</v>
      </c>
      <c r="D114" s="16"/>
      <c r="E114" s="16"/>
      <c r="F114" s="16"/>
      <c r="G114" s="47"/>
      <c r="H114" s="47"/>
      <c r="I114" s="18"/>
      <c r="J114" s="18"/>
      <c r="K114" s="18"/>
      <c r="L114" s="25"/>
    </row>
    <row r="115" customHeight="1" spans="1:12">
      <c r="A115" s="14" t="str">
        <f t="shared" si="2"/>
        <v>0x00000234</v>
      </c>
      <c r="B115" s="15">
        <f>SUM_HEX(C114:F114,B114,3)</f>
        <v>564</v>
      </c>
      <c r="C115" s="16" t="s">
        <v>330</v>
      </c>
      <c r="D115" s="16" t="s">
        <v>330</v>
      </c>
      <c r="E115" s="16" t="s">
        <v>330</v>
      </c>
      <c r="F115" s="16"/>
      <c r="G115" s="47"/>
      <c r="H115" s="47"/>
      <c r="I115" s="18"/>
      <c r="J115" s="18"/>
      <c r="K115" s="18"/>
      <c r="L115" s="25"/>
    </row>
    <row r="116" customHeight="1" spans="1:12">
      <c r="A116" s="14" t="str">
        <f t="shared" si="2"/>
        <v>0x00000240</v>
      </c>
      <c r="B116" s="15">
        <f>SUM_HEX(C115:F115,B115,3)</f>
        <v>576</v>
      </c>
      <c r="C116" s="16" t="s">
        <v>23</v>
      </c>
      <c r="D116" s="16" t="s">
        <v>23</v>
      </c>
      <c r="E116" s="16" t="s">
        <v>23</v>
      </c>
      <c r="F116" s="16"/>
      <c r="G116" s="47"/>
      <c r="H116" s="47"/>
      <c r="I116" s="18"/>
      <c r="J116" s="18"/>
      <c r="K116" s="18"/>
      <c r="L116" s="25"/>
    </row>
    <row r="117" customHeight="1" spans="1:12">
      <c r="A117" s="14" t="str">
        <f t="shared" si="2"/>
        <v>0x0000024C</v>
      </c>
      <c r="B117" s="15">
        <f>SUM_HEX(C116:F116,B116,3)</f>
        <v>588</v>
      </c>
      <c r="C117" s="16" t="s">
        <v>274</v>
      </c>
      <c r="D117" s="16"/>
      <c r="E117" s="16"/>
      <c r="F117" s="16"/>
      <c r="G117" s="48"/>
      <c r="H117" s="48"/>
      <c r="I117" s="18"/>
      <c r="J117" s="18"/>
      <c r="K117" s="18"/>
      <c r="L117" s="25"/>
    </row>
    <row r="118" customHeight="1" spans="1:12">
      <c r="A118" s="14" t="str">
        <f t="shared" si="2"/>
        <v>0x00000250</v>
      </c>
      <c r="B118" s="15">
        <f>SUM_HEX(C117:F117,B117,3)</f>
        <v>592</v>
      </c>
      <c r="C118" s="16" t="s">
        <v>23</v>
      </c>
      <c r="D118" s="16"/>
      <c r="E118" s="16"/>
      <c r="F118" s="16"/>
      <c r="G118" s="18" t="s">
        <v>15</v>
      </c>
      <c r="H118" s="18"/>
      <c r="I118" s="24" t="s">
        <v>377</v>
      </c>
      <c r="J118" s="18"/>
      <c r="K118" s="18" t="s">
        <v>318</v>
      </c>
      <c r="L118" s="25" t="s">
        <v>374</v>
      </c>
    </row>
    <row r="119" customHeight="1" spans="1:12">
      <c r="A119" s="14" t="str">
        <f t="shared" si="2"/>
        <v>0x00000254</v>
      </c>
      <c r="B119" s="15">
        <f>SUM_HEX(C118:F118,B118,3)</f>
        <v>596</v>
      </c>
      <c r="C119" s="16" t="s">
        <v>23</v>
      </c>
      <c r="D119" s="16"/>
      <c r="E119" s="16"/>
      <c r="F119" s="16"/>
      <c r="G119" s="46" t="s">
        <v>157</v>
      </c>
      <c r="H119" s="46" t="s">
        <v>326</v>
      </c>
      <c r="I119" s="24" t="s">
        <v>378</v>
      </c>
      <c r="J119" s="18"/>
      <c r="K119" s="18" t="s">
        <v>332</v>
      </c>
      <c r="L119" s="25" t="s">
        <v>333</v>
      </c>
    </row>
    <row r="120" customHeight="1" spans="1:12">
      <c r="A120" s="14" t="str">
        <f t="shared" si="2"/>
        <v>0x00000258</v>
      </c>
      <c r="B120" s="15">
        <f>SUM_HEX(C119:F119,B119,3)</f>
        <v>600</v>
      </c>
      <c r="C120" s="16" t="s">
        <v>379</v>
      </c>
      <c r="D120" s="16"/>
      <c r="E120" s="16"/>
      <c r="F120" s="16"/>
      <c r="G120" s="47"/>
      <c r="H120" s="47"/>
      <c r="I120" s="18"/>
      <c r="J120" s="18"/>
      <c r="K120" s="18"/>
      <c r="L120" s="25"/>
    </row>
    <row r="121" customHeight="1" spans="1:12">
      <c r="A121" s="14" t="str">
        <f t="shared" si="2"/>
        <v>0x0000025C</v>
      </c>
      <c r="B121" s="15">
        <f>SUM_HEX(C120:F120,B120,3)</f>
        <v>604</v>
      </c>
      <c r="C121" s="16" t="s">
        <v>23</v>
      </c>
      <c r="D121" s="16" t="s">
        <v>23</v>
      </c>
      <c r="E121" s="16" t="s">
        <v>23</v>
      </c>
      <c r="F121" s="16"/>
      <c r="G121" s="47"/>
      <c r="H121" s="47"/>
      <c r="I121" s="18"/>
      <c r="J121" s="18"/>
      <c r="K121" s="18"/>
      <c r="L121" s="25"/>
    </row>
    <row r="122" customHeight="1" spans="1:12">
      <c r="A122" s="14" t="str">
        <f t="shared" si="2"/>
        <v>0x00000268</v>
      </c>
      <c r="B122" s="15">
        <f>SUM_HEX(C121:F121,B121,3)</f>
        <v>616</v>
      </c>
      <c r="C122" s="16" t="s">
        <v>23</v>
      </c>
      <c r="D122" s="16" t="s">
        <v>23</v>
      </c>
      <c r="E122" s="16" t="s">
        <v>23</v>
      </c>
      <c r="F122" s="16"/>
      <c r="G122" s="47"/>
      <c r="H122" s="47"/>
      <c r="I122" s="18"/>
      <c r="J122" s="18"/>
      <c r="K122" s="18"/>
      <c r="L122" s="25"/>
    </row>
    <row r="123" customHeight="1" spans="1:12">
      <c r="A123" s="14" t="str">
        <f t="shared" si="2"/>
        <v>0x00000274</v>
      </c>
      <c r="B123" s="15">
        <f>SUM_HEX(C122:F122,B122,3)</f>
        <v>628</v>
      </c>
      <c r="C123" s="16" t="s">
        <v>274</v>
      </c>
      <c r="D123" s="16"/>
      <c r="E123" s="16"/>
      <c r="F123" s="16"/>
      <c r="G123" s="48"/>
      <c r="H123" s="48"/>
      <c r="I123" s="18"/>
      <c r="J123" s="18"/>
      <c r="K123" s="18"/>
      <c r="L123" s="25"/>
    </row>
    <row r="124" customHeight="1" spans="1:12">
      <c r="A124" s="14" t="str">
        <f t="shared" si="2"/>
        <v>0x00000278</v>
      </c>
      <c r="B124" s="15">
        <f>SUM_HEX(C123:F123,B123,3)</f>
        <v>632</v>
      </c>
      <c r="C124" s="16" t="s">
        <v>23</v>
      </c>
      <c r="D124" s="16"/>
      <c r="E124" s="16"/>
      <c r="F124" s="16"/>
      <c r="G124" s="18" t="s">
        <v>15</v>
      </c>
      <c r="H124" s="18"/>
      <c r="I124" s="24" t="s">
        <v>380</v>
      </c>
      <c r="J124" s="18"/>
      <c r="K124" s="18" t="s">
        <v>318</v>
      </c>
      <c r="L124" s="25" t="s">
        <v>374</v>
      </c>
    </row>
    <row r="125" customHeight="1" spans="1:12">
      <c r="A125" s="14" t="str">
        <f t="shared" si="2"/>
        <v>0x0000027C</v>
      </c>
      <c r="B125" s="15">
        <f>SUM_HEX(C124:F124,B124,3)</f>
        <v>636</v>
      </c>
      <c r="C125" s="16" t="s">
        <v>23</v>
      </c>
      <c r="D125" s="16"/>
      <c r="E125" s="16"/>
      <c r="F125" s="16"/>
      <c r="G125" s="46" t="s">
        <v>157</v>
      </c>
      <c r="H125" s="46" t="s">
        <v>335</v>
      </c>
      <c r="I125" s="24" t="s">
        <v>381</v>
      </c>
      <c r="J125" s="18"/>
      <c r="K125" s="18" t="s">
        <v>337</v>
      </c>
      <c r="L125" s="25"/>
    </row>
    <row r="126" customHeight="1" spans="1:12">
      <c r="A126" s="14" t="str">
        <f t="shared" si="2"/>
        <v>0x00000280</v>
      </c>
      <c r="B126" s="15">
        <f>SUM_HEX(C125:F125,B125,3)</f>
        <v>640</v>
      </c>
      <c r="C126" s="16" t="s">
        <v>382</v>
      </c>
      <c r="D126" s="16"/>
      <c r="E126" s="16"/>
      <c r="F126" s="16"/>
      <c r="G126" s="47"/>
      <c r="H126" s="47"/>
      <c r="I126" s="18"/>
      <c r="J126" s="18"/>
      <c r="K126" s="18"/>
      <c r="L126" s="25"/>
    </row>
    <row r="127" customHeight="1" spans="1:12">
      <c r="A127" s="14" t="str">
        <f t="shared" si="2"/>
        <v>0x00000284</v>
      </c>
      <c r="B127" s="15">
        <f>SUM_HEX(C126:F126,B126,3)</f>
        <v>644</v>
      </c>
      <c r="C127" s="16" t="s">
        <v>274</v>
      </c>
      <c r="D127" s="16" t="s">
        <v>23</v>
      </c>
      <c r="E127" s="16"/>
      <c r="F127" s="16"/>
      <c r="G127" s="47"/>
      <c r="H127" s="47"/>
      <c r="I127" s="18"/>
      <c r="J127" s="18"/>
      <c r="K127" s="18"/>
      <c r="L127" s="25"/>
    </row>
    <row r="128" customHeight="1" spans="1:12">
      <c r="A128" s="14" t="str">
        <f t="shared" si="2"/>
        <v>0x0000028C</v>
      </c>
      <c r="B128" s="15">
        <f>SUM_HEX(C127:F127,B127,3)</f>
        <v>652</v>
      </c>
      <c r="C128" s="16" t="s">
        <v>274</v>
      </c>
      <c r="D128" s="16"/>
      <c r="E128" s="16"/>
      <c r="F128" s="16"/>
      <c r="G128" s="48"/>
      <c r="H128" s="48"/>
      <c r="I128" s="18"/>
      <c r="J128" s="18"/>
      <c r="K128" s="18"/>
      <c r="L128" s="25"/>
    </row>
    <row r="129" customHeight="1" spans="1:12">
      <c r="A129" s="14" t="str">
        <f t="shared" si="2"/>
        <v>0x00000290</v>
      </c>
      <c r="B129" s="15">
        <f>SUM_HEX(C128:F128,B128,3)</f>
        <v>656</v>
      </c>
      <c r="C129" s="16" t="s">
        <v>23</v>
      </c>
      <c r="D129" s="16"/>
      <c r="E129" s="16"/>
      <c r="F129" s="16"/>
      <c r="G129" s="46" t="s">
        <v>157</v>
      </c>
      <c r="H129" s="46" t="s">
        <v>335</v>
      </c>
      <c r="I129" s="24" t="s">
        <v>383</v>
      </c>
      <c r="J129" s="18"/>
      <c r="K129" s="18" t="s">
        <v>337</v>
      </c>
      <c r="L129" s="25"/>
    </row>
    <row r="130" customHeight="1" spans="1:12">
      <c r="A130" s="14" t="str">
        <f t="shared" si="2"/>
        <v>0x00000294</v>
      </c>
      <c r="B130" s="15">
        <f>SUM_HEX(C129:F129,B129,3)</f>
        <v>660</v>
      </c>
      <c r="C130" s="16" t="s">
        <v>384</v>
      </c>
      <c r="D130" s="16"/>
      <c r="E130" s="16"/>
      <c r="F130" s="16"/>
      <c r="G130" s="47"/>
      <c r="H130" s="47"/>
      <c r="I130" s="18"/>
      <c r="J130" s="18"/>
      <c r="K130" s="18"/>
      <c r="L130" s="25"/>
    </row>
    <row r="131" customHeight="1" spans="1:12">
      <c r="A131" s="14" t="str">
        <f t="shared" si="2"/>
        <v>0x00000298</v>
      </c>
      <c r="B131" s="15">
        <f>SUM_HEX(C130:F130,B130,3)</f>
        <v>664</v>
      </c>
      <c r="C131" s="16" t="s">
        <v>274</v>
      </c>
      <c r="D131" s="16" t="s">
        <v>23</v>
      </c>
      <c r="E131" s="16"/>
      <c r="F131" s="16"/>
      <c r="G131" s="47"/>
      <c r="H131" s="47"/>
      <c r="I131" s="18"/>
      <c r="J131" s="18"/>
      <c r="K131" s="18"/>
      <c r="L131" s="25"/>
    </row>
    <row r="132" customHeight="1" spans="1:12">
      <c r="A132" s="14" t="str">
        <f t="shared" si="2"/>
        <v>0x000002A0</v>
      </c>
      <c r="B132" s="15">
        <f>SUM_HEX(C131:F131,B131,3)</f>
        <v>672</v>
      </c>
      <c r="C132" s="16" t="s">
        <v>274</v>
      </c>
      <c r="D132" s="16"/>
      <c r="E132" s="16"/>
      <c r="F132" s="16"/>
      <c r="G132" s="48"/>
      <c r="H132" s="48"/>
      <c r="I132" s="18"/>
      <c r="J132" s="18"/>
      <c r="K132" s="18"/>
      <c r="L132" s="25"/>
    </row>
    <row r="133" customHeight="1" spans="1:12">
      <c r="A133" s="14" t="str">
        <f t="shared" si="2"/>
        <v>0x000002A4</v>
      </c>
      <c r="B133" s="15">
        <f>SUM_HEX(C132:F132,B132,3)</f>
        <v>676</v>
      </c>
      <c r="C133" s="16" t="s">
        <v>23</v>
      </c>
      <c r="D133" s="16"/>
      <c r="E133" s="16"/>
      <c r="F133" s="16"/>
      <c r="G133" s="46" t="s">
        <v>157</v>
      </c>
      <c r="H133" s="46" t="s">
        <v>335</v>
      </c>
      <c r="I133" s="24" t="s">
        <v>385</v>
      </c>
      <c r="J133" s="18"/>
      <c r="K133" s="18" t="s">
        <v>337</v>
      </c>
      <c r="L133" s="25"/>
    </row>
    <row r="134" customHeight="1" spans="1:12">
      <c r="A134" s="14" t="str">
        <f t="shared" si="2"/>
        <v>0x000002A8</v>
      </c>
      <c r="B134" s="15">
        <f>SUM_HEX(C133:F133,B133,3)</f>
        <v>680</v>
      </c>
      <c r="C134" s="16" t="s">
        <v>386</v>
      </c>
      <c r="D134" s="16"/>
      <c r="E134" s="16"/>
      <c r="F134" s="16"/>
      <c r="G134" s="47"/>
      <c r="H134" s="47"/>
      <c r="I134" s="18"/>
      <c r="J134" s="18"/>
      <c r="K134" s="18"/>
      <c r="L134" s="25"/>
    </row>
    <row r="135" customHeight="1" spans="1:12">
      <c r="A135" s="14" t="str">
        <f t="shared" si="2"/>
        <v>0x000002AC</v>
      </c>
      <c r="B135" s="15">
        <f>SUM_HEX(C134:F134,B134,3)</f>
        <v>684</v>
      </c>
      <c r="C135" s="16" t="s">
        <v>274</v>
      </c>
      <c r="D135" s="16" t="s">
        <v>23</v>
      </c>
      <c r="E135" s="16"/>
      <c r="F135" s="16"/>
      <c r="G135" s="47"/>
      <c r="H135" s="47"/>
      <c r="I135" s="18"/>
      <c r="J135" s="18"/>
      <c r="K135" s="18"/>
      <c r="L135" s="25"/>
    </row>
    <row r="136" customHeight="1" spans="1:12">
      <c r="A136" s="14" t="str">
        <f t="shared" si="2"/>
        <v>0x000002B4</v>
      </c>
      <c r="B136" s="15">
        <f>SUM_HEX(C135:F135,B135,3)</f>
        <v>692</v>
      </c>
      <c r="C136" s="16" t="s">
        <v>274</v>
      </c>
      <c r="D136" s="16"/>
      <c r="E136" s="16"/>
      <c r="F136" s="16"/>
      <c r="G136" s="48"/>
      <c r="H136" s="48"/>
      <c r="I136" s="18"/>
      <c r="J136" s="18"/>
      <c r="K136" s="18"/>
      <c r="L136" s="25"/>
    </row>
    <row r="137" customHeight="1" spans="1:12">
      <c r="A137" s="14" t="str">
        <f t="shared" si="2"/>
        <v>0x000002B8</v>
      </c>
      <c r="B137" s="15">
        <f>SUM_HEX(C136:F136,B136,3)</f>
        <v>696</v>
      </c>
      <c r="C137" s="16" t="s">
        <v>23</v>
      </c>
      <c r="D137" s="16"/>
      <c r="E137" s="16"/>
      <c r="F137" s="16"/>
      <c r="G137" s="18" t="s">
        <v>15</v>
      </c>
      <c r="H137" s="18"/>
      <c r="I137" s="24" t="s">
        <v>387</v>
      </c>
      <c r="J137" s="18"/>
      <c r="K137" s="18" t="s">
        <v>318</v>
      </c>
      <c r="L137" s="25" t="s">
        <v>374</v>
      </c>
    </row>
    <row r="138" customHeight="1" spans="1:12">
      <c r="A138" s="14" t="str">
        <f t="shared" si="2"/>
        <v>0x000002BC</v>
      </c>
      <c r="B138" s="15">
        <f>SUM_HEX(C137:F137,B137,3)</f>
        <v>700</v>
      </c>
      <c r="C138" s="16" t="s">
        <v>23</v>
      </c>
      <c r="D138" s="16"/>
      <c r="E138" s="16"/>
      <c r="F138" s="16"/>
      <c r="G138" s="46" t="s">
        <v>157</v>
      </c>
      <c r="H138" s="46" t="s">
        <v>388</v>
      </c>
      <c r="I138" s="18" t="s">
        <v>389</v>
      </c>
      <c r="J138" s="18"/>
      <c r="K138" s="18"/>
      <c r="L138" s="25"/>
    </row>
    <row r="139" customHeight="1" spans="1:12">
      <c r="A139" s="14" t="str">
        <f t="shared" si="2"/>
        <v>0x000002C0</v>
      </c>
      <c r="B139" s="15">
        <f>SUM_HEX(C138:F138,B138,3)</f>
        <v>704</v>
      </c>
      <c r="C139" s="16" t="s">
        <v>390</v>
      </c>
      <c r="D139" s="16"/>
      <c r="E139" s="16"/>
      <c r="F139" s="16"/>
      <c r="G139" s="47"/>
      <c r="H139" s="47"/>
      <c r="I139" s="18"/>
      <c r="J139" s="18"/>
      <c r="K139" s="18"/>
      <c r="L139" s="25"/>
    </row>
    <row r="140" customHeight="1" spans="1:12">
      <c r="A140" s="14" t="str">
        <f t="shared" si="2"/>
        <v>0x000002C4</v>
      </c>
      <c r="B140" s="15">
        <f>SUM_HEX(C139:F139,B139,3)</f>
        <v>708</v>
      </c>
      <c r="C140" s="16" t="s">
        <v>391</v>
      </c>
      <c r="D140" s="16" t="s">
        <v>391</v>
      </c>
      <c r="E140" s="16"/>
      <c r="F140" s="16"/>
      <c r="G140" s="47"/>
      <c r="H140" s="47"/>
      <c r="I140" s="18"/>
      <c r="J140" s="18"/>
      <c r="K140" s="18"/>
      <c r="L140" s="25"/>
    </row>
    <row r="141" customHeight="1" spans="1:12">
      <c r="A141" s="14" t="str">
        <f t="shared" si="2"/>
        <v>0x000002C8</v>
      </c>
      <c r="B141" s="15">
        <f>SUM_HEX(C140:F140,B140,3)</f>
        <v>712</v>
      </c>
      <c r="C141" s="16" t="s">
        <v>274</v>
      </c>
      <c r="D141" s="16"/>
      <c r="E141" s="16"/>
      <c r="F141" s="16"/>
      <c r="G141" s="48"/>
      <c r="H141" s="48"/>
      <c r="I141" s="18"/>
      <c r="J141" s="18"/>
      <c r="K141" s="18"/>
      <c r="L141" s="25"/>
    </row>
    <row r="142" customHeight="1" spans="1:12">
      <c r="A142" s="14" t="str">
        <f t="shared" si="2"/>
        <v>0x000002CC</v>
      </c>
      <c r="B142" s="15">
        <f>SUM_HEX(C141:F141,B141,3)</f>
        <v>716</v>
      </c>
      <c r="C142" s="16" t="s">
        <v>392</v>
      </c>
      <c r="D142" s="16"/>
      <c r="E142" s="16"/>
      <c r="F142" s="16"/>
      <c r="G142" s="18" t="s">
        <v>393</v>
      </c>
      <c r="H142" s="18"/>
      <c r="I142" s="24" t="s">
        <v>394</v>
      </c>
      <c r="J142" s="18"/>
      <c r="K142" s="18"/>
      <c r="L142" s="25"/>
    </row>
    <row r="143" customHeight="1" spans="1:12">
      <c r="A143" s="14" t="str">
        <f t="shared" si="2"/>
        <v>0x000002CD</v>
      </c>
      <c r="B143" s="15">
        <f>SUM_HEX(C142:F142,B142,3)</f>
        <v>717</v>
      </c>
      <c r="C143" s="16" t="s">
        <v>392</v>
      </c>
      <c r="D143" s="16"/>
      <c r="E143" s="16"/>
      <c r="F143" s="16"/>
      <c r="G143" s="18" t="s">
        <v>393</v>
      </c>
      <c r="H143" s="18"/>
      <c r="I143" s="24" t="s">
        <v>395</v>
      </c>
      <c r="J143" s="18"/>
      <c r="K143" s="18"/>
      <c r="L143" s="25"/>
    </row>
    <row r="144" customHeight="1" spans="1:12">
      <c r="A144" s="14" t="str">
        <f t="shared" si="2"/>
        <v>0x000002CE</v>
      </c>
      <c r="B144" s="15">
        <f>SUM_HEX(C143:F143,B143,3)</f>
        <v>718</v>
      </c>
      <c r="C144" s="16" t="s">
        <v>392</v>
      </c>
      <c r="D144" s="16"/>
      <c r="E144" s="16"/>
      <c r="F144" s="16"/>
      <c r="G144" s="18" t="s">
        <v>393</v>
      </c>
      <c r="H144" s="18"/>
      <c r="I144" s="24" t="s">
        <v>396</v>
      </c>
      <c r="J144" s="18"/>
      <c r="K144" s="18"/>
      <c r="L144" s="25"/>
    </row>
    <row r="145" customHeight="1" spans="1:12">
      <c r="A145" s="14" t="str">
        <f t="shared" si="2"/>
        <v>0x000002CF</v>
      </c>
      <c r="B145" s="15">
        <f>SUM_HEX(C144:F144,B144,3)</f>
        <v>719</v>
      </c>
      <c r="C145" s="16" t="s">
        <v>392</v>
      </c>
      <c r="D145" s="16"/>
      <c r="E145" s="16"/>
      <c r="F145" s="16"/>
      <c r="G145" s="17"/>
      <c r="H145" s="17"/>
      <c r="I145" s="22"/>
      <c r="J145" s="17"/>
      <c r="K145" s="17"/>
      <c r="L145" s="23"/>
    </row>
    <row r="146" customHeight="1" spans="1:12">
      <c r="A146" s="14" t="str">
        <f t="shared" si="2"/>
        <v>0x000002D0</v>
      </c>
      <c r="B146" s="15">
        <f>SUM_HEX(C145:F145,B145,3)</f>
        <v>720</v>
      </c>
      <c r="C146" s="16" t="s">
        <v>316</v>
      </c>
      <c r="D146" s="16"/>
      <c r="E146" s="16"/>
      <c r="F146" s="16"/>
      <c r="G146" s="18" t="s">
        <v>212</v>
      </c>
      <c r="H146" s="18"/>
      <c r="I146" s="24" t="s">
        <v>397</v>
      </c>
      <c r="J146" s="18"/>
      <c r="K146" s="18"/>
      <c r="L146" s="25"/>
    </row>
    <row r="147" customHeight="1" spans="1:12">
      <c r="A147" s="14" t="str">
        <f t="shared" si="2"/>
        <v>0x000002D4</v>
      </c>
      <c r="B147" s="15">
        <f>SUM_HEX(C146:F146,B146,3)</f>
        <v>724</v>
      </c>
      <c r="C147" s="16" t="s">
        <v>391</v>
      </c>
      <c r="D147" s="16"/>
      <c r="E147" s="16"/>
      <c r="F147" s="16"/>
      <c r="G147" s="18" t="s">
        <v>398</v>
      </c>
      <c r="H147" s="18"/>
      <c r="I147" s="24" t="s">
        <v>399</v>
      </c>
      <c r="J147" s="18"/>
      <c r="K147" s="18"/>
      <c r="L147" s="25"/>
    </row>
    <row r="148" customHeight="1" spans="1:12">
      <c r="A148" s="14" t="str">
        <f t="shared" si="2"/>
        <v>0x000002D6</v>
      </c>
      <c r="B148" s="15">
        <f>SUM_HEX(C147:F147,B147,3)</f>
        <v>726</v>
      </c>
      <c r="C148" s="16" t="s">
        <v>391</v>
      </c>
      <c r="D148" s="16"/>
      <c r="E148" s="16"/>
      <c r="F148" s="16"/>
      <c r="G148" s="18" t="s">
        <v>398</v>
      </c>
      <c r="H148" s="18"/>
      <c r="I148" s="24" t="s">
        <v>400</v>
      </c>
      <c r="J148" s="18"/>
      <c r="K148" s="18"/>
      <c r="L148" s="25"/>
    </row>
    <row r="149" customHeight="1" spans="1:12">
      <c r="A149" s="14" t="str">
        <f t="shared" ref="A149:A206" si="3">"0x"&amp;DEC2HEX(B149,8)</f>
        <v>0x000002D8</v>
      </c>
      <c r="B149" s="15">
        <f>SUM_HEX(C148:F148,B148,3)</f>
        <v>728</v>
      </c>
      <c r="C149" s="16" t="s">
        <v>401</v>
      </c>
      <c r="D149" s="16"/>
      <c r="E149" s="16"/>
      <c r="F149" s="16"/>
      <c r="G149" s="17"/>
      <c r="H149" s="17"/>
      <c r="I149" s="22"/>
      <c r="J149" s="17"/>
      <c r="K149" s="17"/>
      <c r="L149" s="23"/>
    </row>
    <row r="150" customHeight="1" spans="1:12">
      <c r="A150" s="14" t="str">
        <f t="shared" si="3"/>
        <v>0x000002DC</v>
      </c>
      <c r="B150" s="15">
        <f>SUM_HEX(C149:F149,B149,3)</f>
        <v>732</v>
      </c>
      <c r="C150" s="16" t="s">
        <v>401</v>
      </c>
      <c r="D150" s="16"/>
      <c r="E150" s="16"/>
      <c r="F150" s="16"/>
      <c r="G150" s="17"/>
      <c r="H150" s="17"/>
      <c r="I150" s="22"/>
      <c r="J150" s="17"/>
      <c r="K150" s="17"/>
      <c r="L150" s="23"/>
    </row>
    <row r="151" customHeight="1" spans="1:12">
      <c r="A151" s="14" t="str">
        <f t="shared" si="3"/>
        <v>0x000002E0</v>
      </c>
      <c r="B151" s="15">
        <f>SUM_HEX(C150:F150,B150,3)</f>
        <v>736</v>
      </c>
      <c r="C151" s="16" t="s">
        <v>23</v>
      </c>
      <c r="D151" s="16"/>
      <c r="E151" s="16"/>
      <c r="F151" s="16"/>
      <c r="G151" s="18" t="s">
        <v>212</v>
      </c>
      <c r="H151" s="18"/>
      <c r="I151" s="24" t="s">
        <v>402</v>
      </c>
      <c r="J151" s="18"/>
      <c r="K151" s="18"/>
      <c r="L151" s="25" t="s">
        <v>272</v>
      </c>
    </row>
    <row r="152" customHeight="1" spans="1:12">
      <c r="A152" s="14" t="str">
        <f t="shared" si="3"/>
        <v>0x000002E4</v>
      </c>
      <c r="B152" s="15">
        <f>SUM_HEX(C151:F151,B151,3)</f>
        <v>740</v>
      </c>
      <c r="C152" s="16" t="s">
        <v>148</v>
      </c>
      <c r="D152" s="16"/>
      <c r="E152" s="16"/>
      <c r="F152" s="16"/>
      <c r="G152" s="18" t="s">
        <v>212</v>
      </c>
      <c r="H152" s="18"/>
      <c r="I152" s="24" t="s">
        <v>403</v>
      </c>
      <c r="J152" s="18"/>
      <c r="K152" s="18"/>
      <c r="L152" s="25" t="s">
        <v>272</v>
      </c>
    </row>
    <row r="153" customHeight="1" spans="1:12">
      <c r="A153" s="14" t="str">
        <f t="shared" si="3"/>
        <v>0x000002E8</v>
      </c>
      <c r="B153" s="15">
        <f>SUM_HEX(C152:F152,B152,3)</f>
        <v>744</v>
      </c>
      <c r="C153" s="16" t="s">
        <v>274</v>
      </c>
      <c r="D153" s="16"/>
      <c r="E153" s="16"/>
      <c r="F153" s="16"/>
      <c r="G153" s="18" t="s">
        <v>15</v>
      </c>
      <c r="H153" s="18"/>
      <c r="I153" s="24" t="s">
        <v>404</v>
      </c>
      <c r="J153" s="18"/>
      <c r="K153" s="18" t="s">
        <v>405</v>
      </c>
      <c r="L153" s="25" t="s">
        <v>280</v>
      </c>
    </row>
    <row r="154" customHeight="1" spans="1:12">
      <c r="A154" s="14" t="str">
        <f t="shared" si="3"/>
        <v>0x000002EC</v>
      </c>
      <c r="B154" s="15">
        <f>SUM_HEX(C153:F153,B153,3)</f>
        <v>748</v>
      </c>
      <c r="C154" s="16" t="s">
        <v>23</v>
      </c>
      <c r="D154" s="16"/>
      <c r="E154" s="16"/>
      <c r="F154" s="16"/>
      <c r="G154" s="18" t="s">
        <v>15</v>
      </c>
      <c r="H154" s="18"/>
      <c r="I154" s="24" t="s">
        <v>406</v>
      </c>
      <c r="J154" s="18"/>
      <c r="K154" s="18"/>
      <c r="L154" s="25"/>
    </row>
    <row r="155" customHeight="1" spans="1:12">
      <c r="A155" s="14" t="str">
        <f t="shared" si="3"/>
        <v>0x000002F0</v>
      </c>
      <c r="B155" s="15">
        <f>SUM_HEX(C154:F154,B154,3)</f>
        <v>752</v>
      </c>
      <c r="C155" s="16" t="s">
        <v>23</v>
      </c>
      <c r="D155" s="16"/>
      <c r="E155" s="16"/>
      <c r="F155" s="16"/>
      <c r="G155" s="18" t="s">
        <v>15</v>
      </c>
      <c r="H155" s="18"/>
      <c r="I155" s="24" t="s">
        <v>407</v>
      </c>
      <c r="J155" s="18"/>
      <c r="K155" s="18"/>
      <c r="L155" s="25"/>
    </row>
    <row r="156" customHeight="1" spans="1:12">
      <c r="A156" s="14" t="str">
        <f t="shared" si="3"/>
        <v>0x000002F4</v>
      </c>
      <c r="B156" s="15">
        <f>SUM_HEX(C155:F155,B155,3)</f>
        <v>756</v>
      </c>
      <c r="C156" s="16" t="s">
        <v>23</v>
      </c>
      <c r="D156" s="16"/>
      <c r="E156" s="16"/>
      <c r="F156" s="16"/>
      <c r="G156" s="18" t="s">
        <v>212</v>
      </c>
      <c r="H156" s="18"/>
      <c r="I156" s="24" t="s">
        <v>408</v>
      </c>
      <c r="J156" s="18"/>
      <c r="K156" s="18"/>
      <c r="L156" s="25" t="s">
        <v>272</v>
      </c>
    </row>
    <row r="157" customHeight="1" spans="1:12">
      <c r="A157" s="14" t="str">
        <f t="shared" si="3"/>
        <v>0x000002F8</v>
      </c>
      <c r="B157" s="15">
        <f>SUM_HEX(C156:F156,B156,3)</f>
        <v>760</v>
      </c>
      <c r="C157" s="16" t="s">
        <v>23</v>
      </c>
      <c r="D157" s="16"/>
      <c r="E157" s="16"/>
      <c r="F157" s="16"/>
      <c r="G157" s="18" t="s">
        <v>212</v>
      </c>
      <c r="H157" s="18"/>
      <c r="I157" s="24" t="s">
        <v>409</v>
      </c>
      <c r="J157" s="18"/>
      <c r="K157" s="18"/>
      <c r="L157" s="25" t="s">
        <v>272</v>
      </c>
    </row>
    <row r="158" customHeight="1" spans="1:12">
      <c r="A158" s="14" t="str">
        <f t="shared" si="3"/>
        <v>0x000002FC</v>
      </c>
      <c r="B158" s="15">
        <f>SUM_HEX(C157:F157,B157,3)</f>
        <v>764</v>
      </c>
      <c r="C158" s="16" t="s">
        <v>23</v>
      </c>
      <c r="D158" s="16"/>
      <c r="E158" s="16"/>
      <c r="F158" s="16"/>
      <c r="G158" s="18" t="s">
        <v>212</v>
      </c>
      <c r="H158" s="18"/>
      <c r="I158" s="24" t="s">
        <v>410</v>
      </c>
      <c r="J158" s="18"/>
      <c r="K158" s="18"/>
      <c r="L158" s="25"/>
    </row>
    <row r="159" customHeight="1" spans="1:12">
      <c r="A159" s="14" t="str">
        <f t="shared" si="3"/>
        <v>0x00000300</v>
      </c>
      <c r="B159" s="15">
        <f>SUM_HEX(C158:F158,B158,3)</f>
        <v>768</v>
      </c>
      <c r="C159" s="16" t="s">
        <v>23</v>
      </c>
      <c r="D159" s="16"/>
      <c r="E159" s="16"/>
      <c r="F159" s="16"/>
      <c r="G159" s="18" t="s">
        <v>15</v>
      </c>
      <c r="H159" s="18"/>
      <c r="I159" s="24" t="s">
        <v>411</v>
      </c>
      <c r="J159" s="18"/>
      <c r="K159" s="18" t="s">
        <v>328</v>
      </c>
      <c r="L159" s="25"/>
    </row>
    <row r="160" customHeight="1" spans="1:12">
      <c r="A160" s="14" t="str">
        <f t="shared" si="3"/>
        <v>0x00000304</v>
      </c>
      <c r="B160" s="15">
        <f>SUM_HEX(C159:F159,B159,3)</f>
        <v>772</v>
      </c>
      <c r="C160" s="16" t="s">
        <v>148</v>
      </c>
      <c r="D160" s="16"/>
      <c r="E160" s="16"/>
      <c r="F160" s="16"/>
      <c r="G160" s="18" t="s">
        <v>212</v>
      </c>
      <c r="H160" s="18"/>
      <c r="I160" s="24" t="s">
        <v>412</v>
      </c>
      <c r="J160" s="18"/>
      <c r="K160" s="18"/>
      <c r="L160" s="25"/>
    </row>
    <row r="161" customHeight="1" spans="1:12">
      <c r="A161" s="14" t="str">
        <f t="shared" si="3"/>
        <v>0x00000308</v>
      </c>
      <c r="B161" s="15">
        <f>SUM_HEX(C160:F160,B160,3)</f>
        <v>776</v>
      </c>
      <c r="C161" s="16" t="s">
        <v>23</v>
      </c>
      <c r="D161" s="16" t="s">
        <v>23</v>
      </c>
      <c r="E161" s="16" t="s">
        <v>148</v>
      </c>
      <c r="F161" s="16"/>
      <c r="G161" s="18" t="s">
        <v>326</v>
      </c>
      <c r="H161" s="18"/>
      <c r="I161" s="24" t="s">
        <v>413</v>
      </c>
      <c r="J161" s="18"/>
      <c r="K161" s="18"/>
      <c r="L161" s="25"/>
    </row>
    <row r="162" customHeight="1" spans="1:12">
      <c r="A162" s="14" t="str">
        <f t="shared" si="3"/>
        <v>0x00000314</v>
      </c>
      <c r="B162" s="15">
        <f>SUM_HEX(C161:F161,B161,3)</f>
        <v>788</v>
      </c>
      <c r="C162" s="16" t="s">
        <v>148</v>
      </c>
      <c r="D162" s="16"/>
      <c r="E162" s="16"/>
      <c r="F162" s="16"/>
      <c r="G162" s="18" t="s">
        <v>212</v>
      </c>
      <c r="H162" s="18"/>
      <c r="I162" s="24" t="s">
        <v>414</v>
      </c>
      <c r="J162" s="18"/>
      <c r="K162" s="18"/>
      <c r="L162" s="25"/>
    </row>
    <row r="163" customHeight="1" spans="1:12">
      <c r="A163" s="14" t="str">
        <f t="shared" si="3"/>
        <v>0x00000318</v>
      </c>
      <c r="B163" s="15">
        <f>SUM_HEX(C162:F162,B162,3)</f>
        <v>792</v>
      </c>
      <c r="C163" s="16" t="s">
        <v>23</v>
      </c>
      <c r="D163" s="16"/>
      <c r="E163" s="16"/>
      <c r="F163" s="16"/>
      <c r="G163" s="18" t="s">
        <v>15</v>
      </c>
      <c r="H163" s="18"/>
      <c r="I163" s="24" t="s">
        <v>415</v>
      </c>
      <c r="J163" s="18"/>
      <c r="K163" s="18" t="s">
        <v>416</v>
      </c>
      <c r="L163" s="25"/>
    </row>
    <row r="164" customHeight="1" spans="1:12">
      <c r="A164" s="14" t="str">
        <f t="shared" si="3"/>
        <v>0x0000031C</v>
      </c>
      <c r="B164" s="15">
        <f>SUM_HEX(C163:F163,B163,3)</f>
        <v>796</v>
      </c>
      <c r="C164" s="16" t="s">
        <v>23</v>
      </c>
      <c r="D164" s="16"/>
      <c r="E164" s="16"/>
      <c r="F164" s="16"/>
      <c r="G164" s="46" t="s">
        <v>157</v>
      </c>
      <c r="H164" s="46" t="s">
        <v>212</v>
      </c>
      <c r="I164" s="18" t="s">
        <v>417</v>
      </c>
      <c r="J164" s="18"/>
      <c r="K164" s="18"/>
      <c r="L164" s="25"/>
    </row>
    <row r="165" customHeight="1" spans="1:12">
      <c r="A165" s="14" t="str">
        <f t="shared" si="3"/>
        <v>0x00000320</v>
      </c>
      <c r="B165" s="15">
        <f>SUM_HEX(C164:F164,B164,3)</f>
        <v>800</v>
      </c>
      <c r="C165" s="16" t="s">
        <v>418</v>
      </c>
      <c r="D165" s="16"/>
      <c r="E165" s="16"/>
      <c r="F165" s="16"/>
      <c r="G165" s="47"/>
      <c r="H165" s="47"/>
      <c r="I165" s="18"/>
      <c r="J165" s="18"/>
      <c r="K165" s="18"/>
      <c r="L165" s="25"/>
    </row>
    <row r="166" customHeight="1" spans="1:12">
      <c r="A166" s="14" t="str">
        <f t="shared" si="3"/>
        <v>0x00000324</v>
      </c>
      <c r="B166" s="15">
        <f>SUM_HEX(C165:F165,B165,3)</f>
        <v>804</v>
      </c>
      <c r="C166" s="16" t="s">
        <v>23</v>
      </c>
      <c r="D166" s="16" t="s">
        <v>23</v>
      </c>
      <c r="E166" s="16"/>
      <c r="F166" s="16"/>
      <c r="G166" s="47"/>
      <c r="H166" s="47"/>
      <c r="I166" s="18"/>
      <c r="J166" s="18"/>
      <c r="K166" s="18"/>
      <c r="L166" s="25"/>
    </row>
    <row r="167" customHeight="1" spans="1:12">
      <c r="A167" s="14" t="str">
        <f t="shared" si="3"/>
        <v>0x0000032C</v>
      </c>
      <c r="B167" s="15">
        <f>SUM_HEX(C166:F166,B166,3)</f>
        <v>812</v>
      </c>
      <c r="C167" s="16" t="s">
        <v>274</v>
      </c>
      <c r="D167" s="16"/>
      <c r="E167" s="16"/>
      <c r="F167" s="16"/>
      <c r="G167" s="48"/>
      <c r="H167" s="48"/>
      <c r="I167" s="18"/>
      <c r="J167" s="18"/>
      <c r="K167" s="18"/>
      <c r="L167" s="25"/>
    </row>
    <row r="168" customHeight="1" spans="1:12">
      <c r="A168" s="14" t="str">
        <f t="shared" si="3"/>
        <v>0x00000330</v>
      </c>
      <c r="B168" s="15">
        <f>SUM_HEX(C167:F167,B167,3)</f>
        <v>816</v>
      </c>
      <c r="C168" s="16" t="s">
        <v>23</v>
      </c>
      <c r="D168" s="16"/>
      <c r="E168" s="16"/>
      <c r="F168" s="16"/>
      <c r="G168" s="46" t="s">
        <v>157</v>
      </c>
      <c r="H168" s="46" t="s">
        <v>212</v>
      </c>
      <c r="I168" s="18" t="s">
        <v>419</v>
      </c>
      <c r="J168" s="18"/>
      <c r="K168" s="18"/>
      <c r="L168" s="25"/>
    </row>
    <row r="169" customHeight="1" spans="1:12">
      <c r="A169" s="14" t="str">
        <f t="shared" si="3"/>
        <v>0x00000334</v>
      </c>
      <c r="B169" s="15">
        <f>SUM_HEX(C168:F168,B168,3)</f>
        <v>820</v>
      </c>
      <c r="C169" s="16" t="s">
        <v>420</v>
      </c>
      <c r="D169" s="16"/>
      <c r="E169" s="16"/>
      <c r="F169" s="16"/>
      <c r="G169" s="47"/>
      <c r="H169" s="47"/>
      <c r="I169" s="18"/>
      <c r="J169" s="18"/>
      <c r="K169" s="18"/>
      <c r="L169" s="25"/>
    </row>
    <row r="170" customHeight="1" spans="1:12">
      <c r="A170" s="14" t="str">
        <f t="shared" si="3"/>
        <v>0x00000338</v>
      </c>
      <c r="B170" s="15">
        <f>SUM_HEX(C169:F169,B169,3)</f>
        <v>824</v>
      </c>
      <c r="C170" s="16" t="s">
        <v>23</v>
      </c>
      <c r="D170" s="16" t="s">
        <v>23</v>
      </c>
      <c r="E170" s="16"/>
      <c r="F170" s="16"/>
      <c r="G170" s="47"/>
      <c r="H170" s="47"/>
      <c r="I170" s="18"/>
      <c r="J170" s="18"/>
      <c r="K170" s="18"/>
      <c r="L170" s="25"/>
    </row>
    <row r="171" customHeight="1" spans="1:12">
      <c r="A171" s="14" t="str">
        <f t="shared" si="3"/>
        <v>0x00000340</v>
      </c>
      <c r="B171" s="15">
        <f>SUM_HEX(C170:F170,B170,3)</f>
        <v>832</v>
      </c>
      <c r="C171" s="16" t="s">
        <v>274</v>
      </c>
      <c r="D171" s="16"/>
      <c r="E171" s="16"/>
      <c r="F171" s="16"/>
      <c r="G171" s="48"/>
      <c r="H171" s="48"/>
      <c r="I171" s="18"/>
      <c r="J171" s="18"/>
      <c r="K171" s="18"/>
      <c r="L171" s="25"/>
    </row>
    <row r="172" customHeight="1" spans="1:12">
      <c r="A172" s="14" t="str">
        <f t="shared" si="3"/>
        <v>0x00000344</v>
      </c>
      <c r="B172" s="15">
        <f>SUM_HEX(C171:F171,B171,3)</f>
        <v>836</v>
      </c>
      <c r="C172" s="16" t="s">
        <v>23</v>
      </c>
      <c r="D172" s="16"/>
      <c r="E172" s="16"/>
      <c r="F172" s="16"/>
      <c r="G172" s="18" t="s">
        <v>15</v>
      </c>
      <c r="H172" s="18"/>
      <c r="I172" s="24" t="s">
        <v>421</v>
      </c>
      <c r="J172" s="18"/>
      <c r="K172" s="18" t="s">
        <v>416</v>
      </c>
      <c r="L172" s="25"/>
    </row>
    <row r="173" customHeight="1" spans="1:19">
      <c r="A173" s="14" t="str">
        <f t="shared" si="3"/>
        <v>0x00000348</v>
      </c>
      <c r="B173" s="15">
        <f>SUM_HEX(C172:F172,B172,3)</f>
        <v>840</v>
      </c>
      <c r="C173" s="16" t="s">
        <v>23</v>
      </c>
      <c r="D173" s="16"/>
      <c r="E173" s="16"/>
      <c r="F173" s="16"/>
      <c r="G173" s="46" t="s">
        <v>157</v>
      </c>
      <c r="H173" s="46" t="s">
        <v>212</v>
      </c>
      <c r="I173" s="18" t="s">
        <v>422</v>
      </c>
      <c r="J173" s="18"/>
      <c r="K173" s="18"/>
      <c r="L173" s="25"/>
      <c r="O173"/>
      <c r="P173"/>
      <c r="Q173"/>
      <c r="R173"/>
      <c r="S173"/>
    </row>
    <row r="174" customHeight="1" spans="1:19">
      <c r="A174" s="14" t="str">
        <f t="shared" si="3"/>
        <v>0x0000034C</v>
      </c>
      <c r="B174" s="15">
        <f>SUM_HEX(C173:F173,B173,3)</f>
        <v>844</v>
      </c>
      <c r="C174" s="16" t="s">
        <v>423</v>
      </c>
      <c r="D174" s="16"/>
      <c r="E174" s="16"/>
      <c r="F174" s="16"/>
      <c r="G174" s="47"/>
      <c r="H174" s="47"/>
      <c r="I174" s="18"/>
      <c r="J174" s="18"/>
      <c r="K174" s="18"/>
      <c r="L174" s="25"/>
      <c r="O174"/>
      <c r="P174"/>
      <c r="Q174"/>
      <c r="R174"/>
      <c r="S174"/>
    </row>
    <row r="175" customHeight="1" spans="1:12">
      <c r="A175" s="14" t="str">
        <f t="shared" si="3"/>
        <v>0x00000350</v>
      </c>
      <c r="B175" s="15">
        <f>SUM_HEX(C174:F174,B174,3)</f>
        <v>848</v>
      </c>
      <c r="C175" s="16" t="s">
        <v>23</v>
      </c>
      <c r="D175" s="16" t="s">
        <v>23</v>
      </c>
      <c r="E175" s="16"/>
      <c r="F175" s="16"/>
      <c r="G175" s="47"/>
      <c r="H175" s="47"/>
      <c r="I175" s="18"/>
      <c r="J175" s="18"/>
      <c r="K175" s="18"/>
      <c r="L175" s="25"/>
    </row>
    <row r="176" customHeight="1" spans="1:12">
      <c r="A176" s="14" t="str">
        <f t="shared" si="3"/>
        <v>0x00000358</v>
      </c>
      <c r="B176" s="15">
        <f>SUM_HEX(C175:F175,B175,3)</f>
        <v>856</v>
      </c>
      <c r="C176" s="16" t="s">
        <v>274</v>
      </c>
      <c r="D176" s="16"/>
      <c r="E176" s="16"/>
      <c r="F176" s="16"/>
      <c r="G176" s="48"/>
      <c r="H176" s="48"/>
      <c r="I176" s="18"/>
      <c r="J176" s="18"/>
      <c r="K176" s="18"/>
      <c r="L176" s="25"/>
    </row>
    <row r="177" customHeight="1" spans="1:12">
      <c r="A177" s="14" t="str">
        <f t="shared" si="3"/>
        <v>0x0000035C</v>
      </c>
      <c r="B177" s="15">
        <f>SUM_HEX(C176:F176,B176,3)</f>
        <v>860</v>
      </c>
      <c r="C177" s="16" t="s">
        <v>23</v>
      </c>
      <c r="D177" s="16"/>
      <c r="E177" s="16"/>
      <c r="F177" s="16"/>
      <c r="G177" s="46" t="s">
        <v>157</v>
      </c>
      <c r="H177" s="46" t="s">
        <v>212</v>
      </c>
      <c r="I177" s="18" t="s">
        <v>424</v>
      </c>
      <c r="J177" s="18"/>
      <c r="K177" s="18"/>
      <c r="L177" s="25"/>
    </row>
    <row r="178" customHeight="1" spans="1:12">
      <c r="A178" s="14" t="str">
        <f t="shared" si="3"/>
        <v>0x00000360</v>
      </c>
      <c r="B178" s="15">
        <f>SUM_HEX(C177:F177,B177,3)</f>
        <v>864</v>
      </c>
      <c r="C178" s="16" t="s">
        <v>425</v>
      </c>
      <c r="D178" s="16"/>
      <c r="E178" s="16"/>
      <c r="F178" s="16"/>
      <c r="G178" s="47"/>
      <c r="H178" s="47"/>
      <c r="I178" s="18"/>
      <c r="J178" s="18"/>
      <c r="K178" s="18"/>
      <c r="L178" s="25"/>
    </row>
    <row r="179" customHeight="1" spans="1:12">
      <c r="A179" s="14" t="str">
        <f t="shared" si="3"/>
        <v>0x00000364</v>
      </c>
      <c r="B179" s="15">
        <f>SUM_HEX(C178:F178,B178,3)</f>
        <v>868</v>
      </c>
      <c r="C179" s="16" t="s">
        <v>23</v>
      </c>
      <c r="D179" s="16" t="s">
        <v>23</v>
      </c>
      <c r="E179" s="16"/>
      <c r="F179" s="16"/>
      <c r="G179" s="47"/>
      <c r="H179" s="47"/>
      <c r="I179" s="18"/>
      <c r="J179" s="18"/>
      <c r="K179" s="18"/>
      <c r="L179" s="25"/>
    </row>
    <row r="180" customHeight="1" spans="1:12">
      <c r="A180" s="14" t="str">
        <f t="shared" si="3"/>
        <v>0x0000036C</v>
      </c>
      <c r="B180" s="15">
        <f>SUM_HEX(C179:F179,B179,3)</f>
        <v>876</v>
      </c>
      <c r="C180" s="16" t="s">
        <v>274</v>
      </c>
      <c r="D180" s="16"/>
      <c r="E180" s="16"/>
      <c r="F180" s="16"/>
      <c r="G180" s="48"/>
      <c r="H180" s="48"/>
      <c r="I180" s="18"/>
      <c r="J180" s="18"/>
      <c r="K180" s="18"/>
      <c r="L180" s="25"/>
    </row>
    <row r="181" customHeight="1" spans="1:12">
      <c r="A181" s="14" t="str">
        <f t="shared" si="3"/>
        <v>0x00000370</v>
      </c>
      <c r="B181" s="15">
        <f>SUM_HEX(C180:F180,B180,3)</f>
        <v>880</v>
      </c>
      <c r="C181" s="16" t="s">
        <v>23</v>
      </c>
      <c r="D181" s="16"/>
      <c r="E181" s="16"/>
      <c r="F181" s="16"/>
      <c r="G181" s="18" t="s">
        <v>15</v>
      </c>
      <c r="H181" s="18"/>
      <c r="I181" s="24" t="s">
        <v>426</v>
      </c>
      <c r="J181" s="18"/>
      <c r="K181" s="18" t="s">
        <v>416</v>
      </c>
      <c r="L181" s="25"/>
    </row>
    <row r="182" customHeight="1" spans="1:12">
      <c r="A182" s="14" t="str">
        <f t="shared" si="3"/>
        <v>0x00000374</v>
      </c>
      <c r="B182" s="15">
        <f>SUM_HEX(C181:F181,B181,3)</f>
        <v>884</v>
      </c>
      <c r="C182" s="16" t="s">
        <v>23</v>
      </c>
      <c r="D182" s="16"/>
      <c r="E182" s="16"/>
      <c r="F182" s="16"/>
      <c r="G182" s="46" t="s">
        <v>157</v>
      </c>
      <c r="H182" s="46" t="s">
        <v>212</v>
      </c>
      <c r="I182" s="18" t="s">
        <v>427</v>
      </c>
      <c r="J182" s="18"/>
      <c r="K182" s="18"/>
      <c r="L182" s="25"/>
    </row>
    <row r="183" customHeight="1" spans="1:12">
      <c r="A183" s="14" t="str">
        <f t="shared" si="3"/>
        <v>0x00000378</v>
      </c>
      <c r="B183" s="15">
        <f>SUM_HEX(C182:F182,B182,3)</f>
        <v>888</v>
      </c>
      <c r="C183" s="16" t="s">
        <v>428</v>
      </c>
      <c r="D183" s="16"/>
      <c r="E183" s="16"/>
      <c r="F183" s="16"/>
      <c r="G183" s="47"/>
      <c r="H183" s="47"/>
      <c r="I183" s="18"/>
      <c r="J183" s="18"/>
      <c r="K183" s="18"/>
      <c r="L183" s="25"/>
    </row>
    <row r="184" customHeight="1" spans="1:12">
      <c r="A184" s="14" t="str">
        <f t="shared" si="3"/>
        <v>0x0000037C</v>
      </c>
      <c r="B184" s="15">
        <f>SUM_HEX(C183:F183,B183,3)</f>
        <v>892</v>
      </c>
      <c r="C184" s="16" t="s">
        <v>23</v>
      </c>
      <c r="D184" s="16" t="s">
        <v>23</v>
      </c>
      <c r="E184" s="16"/>
      <c r="F184" s="16"/>
      <c r="G184" s="47"/>
      <c r="H184" s="47"/>
      <c r="I184" s="18"/>
      <c r="J184" s="18"/>
      <c r="K184" s="18"/>
      <c r="L184" s="25"/>
    </row>
    <row r="185" customHeight="1" spans="1:12">
      <c r="A185" s="14" t="str">
        <f t="shared" si="3"/>
        <v>0x00000384</v>
      </c>
      <c r="B185" s="15">
        <f>SUM_HEX(C184:F184,B184,3)</f>
        <v>900</v>
      </c>
      <c r="C185" s="16" t="s">
        <v>274</v>
      </c>
      <c r="D185" s="16"/>
      <c r="E185" s="16"/>
      <c r="F185" s="16"/>
      <c r="G185" s="48"/>
      <c r="H185" s="48"/>
      <c r="I185" s="18"/>
      <c r="J185" s="18"/>
      <c r="K185" s="18"/>
      <c r="L185" s="25"/>
    </row>
    <row r="186" customHeight="1" spans="1:12">
      <c r="A186" s="14" t="str">
        <f t="shared" si="3"/>
        <v>0x00000388</v>
      </c>
      <c r="B186" s="15">
        <f>SUM_HEX(C185:F185,B185,3)</f>
        <v>904</v>
      </c>
      <c r="C186" s="16" t="s">
        <v>23</v>
      </c>
      <c r="D186" s="16"/>
      <c r="E186" s="16"/>
      <c r="F186" s="16"/>
      <c r="G186" s="46" t="s">
        <v>157</v>
      </c>
      <c r="H186" s="46" t="s">
        <v>212</v>
      </c>
      <c r="I186" s="18" t="s">
        <v>429</v>
      </c>
      <c r="J186" s="18"/>
      <c r="K186" s="18"/>
      <c r="L186" s="25"/>
    </row>
    <row r="187" customHeight="1" spans="1:12">
      <c r="A187" s="14" t="str">
        <f t="shared" si="3"/>
        <v>0x0000038C</v>
      </c>
      <c r="B187" s="15">
        <f>SUM_HEX(C186:F186,B186,3)</f>
        <v>908</v>
      </c>
      <c r="C187" s="16" t="s">
        <v>430</v>
      </c>
      <c r="D187" s="16"/>
      <c r="E187" s="16"/>
      <c r="F187" s="16"/>
      <c r="G187" s="47"/>
      <c r="H187" s="47"/>
      <c r="I187" s="18"/>
      <c r="J187" s="18"/>
      <c r="K187" s="18"/>
      <c r="L187" s="25"/>
    </row>
    <row r="188" customHeight="1" spans="1:12">
      <c r="A188" s="14" t="str">
        <f t="shared" si="3"/>
        <v>0x00000390</v>
      </c>
      <c r="B188" s="15">
        <f>SUM_HEX(C187:F187,B187,3)</f>
        <v>912</v>
      </c>
      <c r="C188" s="16" t="s">
        <v>23</v>
      </c>
      <c r="D188" s="16" t="s">
        <v>23</v>
      </c>
      <c r="E188" s="16"/>
      <c r="F188" s="16"/>
      <c r="G188" s="47"/>
      <c r="H188" s="47"/>
      <c r="I188" s="18"/>
      <c r="J188" s="18"/>
      <c r="K188" s="18"/>
      <c r="L188" s="25"/>
    </row>
    <row r="189" customHeight="1" spans="1:12">
      <c r="A189" s="14" t="str">
        <f t="shared" si="3"/>
        <v>0x00000398</v>
      </c>
      <c r="B189" s="15">
        <f>SUM_HEX(C188:F188,B188,3)</f>
        <v>920</v>
      </c>
      <c r="C189" s="16" t="s">
        <v>274</v>
      </c>
      <c r="D189" s="16"/>
      <c r="E189" s="16"/>
      <c r="F189" s="16"/>
      <c r="G189" s="48"/>
      <c r="H189" s="48"/>
      <c r="I189" s="18"/>
      <c r="J189" s="18"/>
      <c r="K189" s="18"/>
      <c r="L189" s="25"/>
    </row>
    <row r="190" customHeight="1" spans="1:12">
      <c r="A190" s="14" t="str">
        <f t="shared" si="3"/>
        <v>0x0000039C</v>
      </c>
      <c r="B190" s="15">
        <f>SUM_HEX(C189:F189,B189,3)</f>
        <v>924</v>
      </c>
      <c r="C190" s="16" t="s">
        <v>23</v>
      </c>
      <c r="D190" s="16"/>
      <c r="E190" s="16"/>
      <c r="F190" s="16"/>
      <c r="G190" s="18" t="s">
        <v>15</v>
      </c>
      <c r="H190" s="18"/>
      <c r="I190" s="24" t="s">
        <v>431</v>
      </c>
      <c r="J190" s="18"/>
      <c r="K190" s="18" t="s">
        <v>416</v>
      </c>
      <c r="L190" s="25"/>
    </row>
    <row r="191" customHeight="1" spans="1:12">
      <c r="A191" s="14" t="str">
        <f t="shared" si="3"/>
        <v>0x000003A0</v>
      </c>
      <c r="B191" s="15">
        <f>SUM_HEX(C190:F190,B190,3)</f>
        <v>928</v>
      </c>
      <c r="C191" s="16" t="s">
        <v>23</v>
      </c>
      <c r="D191" s="16"/>
      <c r="E191" s="16"/>
      <c r="F191" s="16"/>
      <c r="G191" s="46" t="s">
        <v>157</v>
      </c>
      <c r="H191" s="46" t="s">
        <v>212</v>
      </c>
      <c r="I191" s="18" t="s">
        <v>432</v>
      </c>
      <c r="J191" s="18"/>
      <c r="K191" s="18"/>
      <c r="L191" s="25"/>
    </row>
    <row r="192" customHeight="1" spans="1:12">
      <c r="A192" s="14" t="str">
        <f t="shared" si="3"/>
        <v>0x000003A4</v>
      </c>
      <c r="B192" s="15">
        <f>SUM_HEX(C191:F191,B191,3)</f>
        <v>932</v>
      </c>
      <c r="C192" s="16" t="s">
        <v>433</v>
      </c>
      <c r="D192" s="16"/>
      <c r="E192" s="16"/>
      <c r="F192" s="16"/>
      <c r="G192" s="47"/>
      <c r="H192" s="47"/>
      <c r="I192" s="18"/>
      <c r="J192" s="18"/>
      <c r="K192" s="18"/>
      <c r="L192" s="25"/>
    </row>
    <row r="193" customHeight="1" spans="1:12">
      <c r="A193" s="14" t="str">
        <f t="shared" si="3"/>
        <v>0x000003A8</v>
      </c>
      <c r="B193" s="15">
        <f>SUM_HEX(C192:F192,B192,3)</f>
        <v>936</v>
      </c>
      <c r="C193" s="16" t="s">
        <v>23</v>
      </c>
      <c r="D193" s="16" t="s">
        <v>23</v>
      </c>
      <c r="E193" s="16"/>
      <c r="F193" s="16"/>
      <c r="G193" s="47"/>
      <c r="H193" s="47"/>
      <c r="I193" s="18"/>
      <c r="J193" s="18"/>
      <c r="K193" s="18"/>
      <c r="L193" s="25"/>
    </row>
    <row r="194" customHeight="1" spans="1:12">
      <c r="A194" s="14" t="str">
        <f t="shared" si="3"/>
        <v>0x000003B0</v>
      </c>
      <c r="B194" s="15">
        <f>SUM_HEX(C193:F193,B193,3)</f>
        <v>944</v>
      </c>
      <c r="C194" s="16" t="s">
        <v>274</v>
      </c>
      <c r="D194" s="16"/>
      <c r="E194" s="16"/>
      <c r="F194" s="16"/>
      <c r="G194" s="48"/>
      <c r="H194" s="48"/>
      <c r="I194" s="18"/>
      <c r="J194" s="18"/>
      <c r="K194" s="18"/>
      <c r="L194" s="25"/>
    </row>
    <row r="195" customHeight="1" spans="1:12">
      <c r="A195" s="14" t="str">
        <f t="shared" si="3"/>
        <v>0x000003B4</v>
      </c>
      <c r="B195" s="15">
        <f>SUM_HEX(C194:F194,B194,3)</f>
        <v>948</v>
      </c>
      <c r="C195" s="16" t="s">
        <v>23</v>
      </c>
      <c r="D195" s="16"/>
      <c r="E195" s="16"/>
      <c r="F195" s="16"/>
      <c r="G195" s="46" t="s">
        <v>157</v>
      </c>
      <c r="H195" s="46" t="s">
        <v>212</v>
      </c>
      <c r="I195" s="18" t="s">
        <v>434</v>
      </c>
      <c r="J195" s="18"/>
      <c r="K195" s="18"/>
      <c r="L195" s="25"/>
    </row>
    <row r="196" customHeight="1" spans="1:12">
      <c r="A196" s="14" t="str">
        <f t="shared" si="3"/>
        <v>0x000003B8</v>
      </c>
      <c r="B196" s="15">
        <f>SUM_HEX(C195:F195,B195,3)</f>
        <v>952</v>
      </c>
      <c r="C196" s="16" t="s">
        <v>435</v>
      </c>
      <c r="D196" s="16"/>
      <c r="E196" s="16"/>
      <c r="F196" s="16"/>
      <c r="G196" s="47"/>
      <c r="H196" s="47"/>
      <c r="I196" s="18"/>
      <c r="J196" s="18"/>
      <c r="K196" s="18"/>
      <c r="L196" s="25"/>
    </row>
    <row r="197" customHeight="1" spans="1:12">
      <c r="A197" s="14" t="str">
        <f t="shared" si="3"/>
        <v>0x000003BC</v>
      </c>
      <c r="B197" s="15">
        <f>SUM_HEX(C196:F196,B196,3)</f>
        <v>956</v>
      </c>
      <c r="C197" s="16" t="s">
        <v>23</v>
      </c>
      <c r="D197" s="16" t="s">
        <v>23</v>
      </c>
      <c r="E197" s="16"/>
      <c r="F197" s="16"/>
      <c r="G197" s="47"/>
      <c r="H197" s="47"/>
      <c r="I197" s="18"/>
      <c r="J197" s="18"/>
      <c r="K197" s="18"/>
      <c r="L197" s="25"/>
    </row>
    <row r="198" customHeight="1" spans="1:12">
      <c r="A198" s="14" t="str">
        <f t="shared" si="3"/>
        <v>0x000003C4</v>
      </c>
      <c r="B198" s="15">
        <f>SUM_HEX(C197:F197,B197,3)</f>
        <v>964</v>
      </c>
      <c r="C198" s="16" t="s">
        <v>274</v>
      </c>
      <c r="D198" s="16"/>
      <c r="E198" s="16"/>
      <c r="F198" s="16"/>
      <c r="G198" s="48"/>
      <c r="H198" s="48"/>
      <c r="I198" s="18"/>
      <c r="J198" s="18"/>
      <c r="K198" s="18"/>
      <c r="L198" s="25"/>
    </row>
    <row r="199" customHeight="1" spans="1:12">
      <c r="A199" s="14" t="str">
        <f t="shared" si="3"/>
        <v>0x000003C8</v>
      </c>
      <c r="B199" s="15">
        <f>SUM_HEX(C198:F198,B198,3)</f>
        <v>968</v>
      </c>
      <c r="C199" s="16" t="s">
        <v>23</v>
      </c>
      <c r="D199" s="16"/>
      <c r="E199" s="16"/>
      <c r="F199" s="16"/>
      <c r="G199" s="18" t="s">
        <v>15</v>
      </c>
      <c r="H199" s="18"/>
      <c r="I199" s="24" t="s">
        <v>436</v>
      </c>
      <c r="J199" s="18"/>
      <c r="K199" s="18" t="s">
        <v>416</v>
      </c>
      <c r="L199" s="25"/>
    </row>
    <row r="200" customHeight="1" spans="1:12">
      <c r="A200" s="14" t="str">
        <f t="shared" si="3"/>
        <v>0x000003CC</v>
      </c>
      <c r="B200" s="15">
        <f>SUM_HEX(C199:F199,B199,3)</f>
        <v>972</v>
      </c>
      <c r="C200" s="16" t="s">
        <v>23</v>
      </c>
      <c r="D200" s="16"/>
      <c r="E200" s="16"/>
      <c r="F200" s="16"/>
      <c r="G200" s="46" t="s">
        <v>157</v>
      </c>
      <c r="H200" s="46" t="s">
        <v>212</v>
      </c>
      <c r="I200" s="18" t="s">
        <v>437</v>
      </c>
      <c r="J200" s="18"/>
      <c r="K200" s="18"/>
      <c r="L200" s="25"/>
    </row>
    <row r="201" customHeight="1" spans="1:12">
      <c r="A201" s="14" t="str">
        <f t="shared" si="3"/>
        <v>0x000003D0</v>
      </c>
      <c r="B201" s="15">
        <f>SUM_HEX(C200:F200,B200,3)</f>
        <v>976</v>
      </c>
      <c r="C201" s="16" t="s">
        <v>438</v>
      </c>
      <c r="D201" s="16"/>
      <c r="E201" s="16"/>
      <c r="F201" s="16"/>
      <c r="G201" s="47"/>
      <c r="H201" s="47"/>
      <c r="I201" s="18"/>
      <c r="J201" s="18"/>
      <c r="K201" s="18"/>
      <c r="L201" s="25"/>
    </row>
    <row r="202" customHeight="1" spans="1:12">
      <c r="A202" s="14" t="str">
        <f t="shared" si="3"/>
        <v>0x000003D4</v>
      </c>
      <c r="B202" s="15">
        <f>SUM_HEX(C201:F201,B201,3)</f>
        <v>980</v>
      </c>
      <c r="C202" s="16" t="s">
        <v>23</v>
      </c>
      <c r="D202" s="16" t="s">
        <v>23</v>
      </c>
      <c r="E202" s="16"/>
      <c r="F202" s="16"/>
      <c r="G202" s="47"/>
      <c r="H202" s="47"/>
      <c r="I202" s="18"/>
      <c r="J202" s="18"/>
      <c r="K202" s="18"/>
      <c r="L202" s="25"/>
    </row>
    <row r="203" customHeight="1" spans="1:12">
      <c r="A203" s="14" t="str">
        <f t="shared" si="3"/>
        <v>0x000003DC</v>
      </c>
      <c r="B203" s="15">
        <f>SUM_HEX(C202:F202,B202,3)</f>
        <v>988</v>
      </c>
      <c r="C203" s="16" t="s">
        <v>274</v>
      </c>
      <c r="D203" s="16"/>
      <c r="E203" s="16"/>
      <c r="F203" s="16"/>
      <c r="G203" s="48"/>
      <c r="H203" s="48"/>
      <c r="I203" s="18"/>
      <c r="J203" s="18"/>
      <c r="K203" s="18"/>
      <c r="L203" s="25"/>
    </row>
    <row r="204" customHeight="1" spans="1:12">
      <c r="A204" s="14" t="str">
        <f t="shared" si="3"/>
        <v>0x000003E0</v>
      </c>
      <c r="B204" s="15">
        <f>SUM_HEX(C203:F203,B203,3)</f>
        <v>992</v>
      </c>
      <c r="C204" s="16" t="s">
        <v>23</v>
      </c>
      <c r="D204" s="16"/>
      <c r="E204" s="16"/>
      <c r="F204" s="16"/>
      <c r="G204" s="46" t="s">
        <v>157</v>
      </c>
      <c r="H204" s="46" t="s">
        <v>212</v>
      </c>
      <c r="I204" s="18" t="s">
        <v>439</v>
      </c>
      <c r="J204" s="18"/>
      <c r="K204" s="18"/>
      <c r="L204" s="25"/>
    </row>
    <row r="205" customHeight="1" spans="1:12">
      <c r="A205" s="14" t="str">
        <f t="shared" si="3"/>
        <v>0x000003E4</v>
      </c>
      <c r="B205" s="15">
        <f>SUM_HEX(C204:F204,B204,3)</f>
        <v>996</v>
      </c>
      <c r="C205" s="16" t="s">
        <v>440</v>
      </c>
      <c r="D205" s="16"/>
      <c r="E205" s="16"/>
      <c r="F205" s="16"/>
      <c r="G205" s="47"/>
      <c r="H205" s="47"/>
      <c r="I205" s="18"/>
      <c r="J205" s="18"/>
      <c r="K205" s="18"/>
      <c r="L205" s="25"/>
    </row>
    <row r="206" customHeight="1" spans="1:12">
      <c r="A206" s="14" t="str">
        <f t="shared" si="3"/>
        <v>0x000003E8</v>
      </c>
      <c r="B206" s="15">
        <f>SUM_HEX(C205:F205,B205,3)</f>
        <v>1000</v>
      </c>
      <c r="C206" s="16" t="s">
        <v>23</v>
      </c>
      <c r="D206" s="16" t="s">
        <v>23</v>
      </c>
      <c r="E206" s="16"/>
      <c r="F206" s="16"/>
      <c r="G206" s="47"/>
      <c r="H206" s="47"/>
      <c r="I206" s="18"/>
      <c r="J206" s="18"/>
      <c r="K206" s="18"/>
      <c r="L206" s="25"/>
    </row>
    <row r="207" customHeight="1" spans="1:12">
      <c r="A207" s="14" t="str">
        <f t="shared" ref="A207:A270" si="4">"0x"&amp;DEC2HEX(B207,8)</f>
        <v>0x000003F0</v>
      </c>
      <c r="B207" s="15">
        <f>SUM_HEX(C206:F206,B206,3)</f>
        <v>1008</v>
      </c>
      <c r="C207" s="16" t="s">
        <v>274</v>
      </c>
      <c r="D207" s="16"/>
      <c r="E207" s="16"/>
      <c r="F207" s="16"/>
      <c r="G207" s="48"/>
      <c r="H207" s="48"/>
      <c r="I207" s="18"/>
      <c r="J207" s="18"/>
      <c r="K207" s="18"/>
      <c r="L207" s="25"/>
    </row>
    <row r="208" customHeight="1" spans="1:12">
      <c r="A208" s="14" t="str">
        <f t="shared" si="4"/>
        <v>0x000003F4</v>
      </c>
      <c r="B208" s="15">
        <f>SUM_HEX(C207:F207,B207,3)</f>
        <v>1012</v>
      </c>
      <c r="C208" s="16" t="s">
        <v>23</v>
      </c>
      <c r="D208" s="16"/>
      <c r="E208" s="16"/>
      <c r="F208" s="16"/>
      <c r="G208" s="18" t="s">
        <v>15</v>
      </c>
      <c r="H208" s="18"/>
      <c r="I208" s="24"/>
      <c r="J208" s="18"/>
      <c r="K208" s="18"/>
      <c r="L208" s="25"/>
    </row>
    <row r="209" customHeight="1" spans="1:12">
      <c r="A209" s="14" t="str">
        <f t="shared" si="4"/>
        <v>0x000003F8</v>
      </c>
      <c r="B209" s="15">
        <f>SUM_HEX(C208:F208,B208,3)</f>
        <v>1016</v>
      </c>
      <c r="C209" s="16" t="s">
        <v>23</v>
      </c>
      <c r="D209" s="16"/>
      <c r="E209" s="16"/>
      <c r="F209" s="16"/>
      <c r="G209" s="46" t="s">
        <v>157</v>
      </c>
      <c r="H209" s="46"/>
      <c r="I209" s="18"/>
      <c r="J209" s="18"/>
      <c r="K209" s="18"/>
      <c r="L209" s="25"/>
    </row>
    <row r="210" customHeight="1" spans="1:12">
      <c r="A210" s="14" t="str">
        <f t="shared" si="4"/>
        <v>0x000003FC</v>
      </c>
      <c r="B210" s="15">
        <f>SUM_HEX(C209:F209,B209,3)</f>
        <v>1020</v>
      </c>
      <c r="C210" s="16" t="s">
        <v>441</v>
      </c>
      <c r="D210" s="16"/>
      <c r="E210" s="16"/>
      <c r="F210" s="16"/>
      <c r="G210" s="47"/>
      <c r="H210" s="47"/>
      <c r="I210" s="18"/>
      <c r="J210" s="18"/>
      <c r="K210" s="18"/>
      <c r="L210" s="25"/>
    </row>
    <row r="211" customHeight="1" spans="1:12">
      <c r="A211" s="14" t="str">
        <f t="shared" si="4"/>
        <v>0x00000400</v>
      </c>
      <c r="B211" s="15">
        <f>SUM_HEX(C210:F210,B210,3)</f>
        <v>1024</v>
      </c>
      <c r="C211" s="16" t="s">
        <v>23</v>
      </c>
      <c r="D211" s="16" t="s">
        <v>23</v>
      </c>
      <c r="E211" s="16"/>
      <c r="F211" s="16"/>
      <c r="G211" s="47"/>
      <c r="H211" s="47"/>
      <c r="I211" s="18"/>
      <c r="J211" s="18"/>
      <c r="K211" s="18"/>
      <c r="L211" s="25"/>
    </row>
    <row r="212" customHeight="1" spans="1:12">
      <c r="A212" s="14" t="str">
        <f t="shared" si="4"/>
        <v>0x00000408</v>
      </c>
      <c r="B212" s="15">
        <f>SUM_HEX(C211:F211,B211,3)</f>
        <v>1032</v>
      </c>
      <c r="C212" s="16" t="s">
        <v>274</v>
      </c>
      <c r="D212" s="16"/>
      <c r="E212" s="16"/>
      <c r="F212" s="16"/>
      <c r="G212" s="48"/>
      <c r="H212" s="48"/>
      <c r="I212" s="18"/>
      <c r="J212" s="18"/>
      <c r="K212" s="18"/>
      <c r="L212" s="25"/>
    </row>
    <row r="213" customHeight="1" spans="1:12">
      <c r="A213" s="14" t="str">
        <f t="shared" si="4"/>
        <v>0x0000040C</v>
      </c>
      <c r="B213" s="15">
        <f>SUM_HEX(C212:F212,B212,3)</f>
        <v>1036</v>
      </c>
      <c r="C213" s="16" t="s">
        <v>23</v>
      </c>
      <c r="D213" s="16"/>
      <c r="E213" s="16"/>
      <c r="F213" s="16"/>
      <c r="G213" s="46" t="s">
        <v>157</v>
      </c>
      <c r="H213" s="46"/>
      <c r="I213" s="18"/>
      <c r="J213" s="18"/>
      <c r="K213" s="18"/>
      <c r="L213" s="25"/>
    </row>
    <row r="214" customHeight="1" spans="1:12">
      <c r="A214" s="14" t="str">
        <f t="shared" si="4"/>
        <v>0x00000410</v>
      </c>
      <c r="B214" s="15">
        <f>SUM_HEX(C213:F213,B213,3)</f>
        <v>1040</v>
      </c>
      <c r="C214" s="16" t="s">
        <v>442</v>
      </c>
      <c r="D214" s="16"/>
      <c r="E214" s="16"/>
      <c r="F214" s="16"/>
      <c r="G214" s="47"/>
      <c r="H214" s="47"/>
      <c r="I214" s="18"/>
      <c r="J214" s="18"/>
      <c r="K214" s="18"/>
      <c r="L214" s="25"/>
    </row>
    <row r="215" customHeight="1" spans="1:12">
      <c r="A215" s="14" t="str">
        <f t="shared" si="4"/>
        <v>0x00000414</v>
      </c>
      <c r="B215" s="15">
        <f>SUM_HEX(C214:F214,B214,3)</f>
        <v>1044</v>
      </c>
      <c r="C215" s="16" t="s">
        <v>23</v>
      </c>
      <c r="D215" s="16" t="s">
        <v>23</v>
      </c>
      <c r="E215" s="16"/>
      <c r="F215" s="16"/>
      <c r="G215" s="47"/>
      <c r="H215" s="47"/>
      <c r="I215" s="18"/>
      <c r="J215" s="18"/>
      <c r="K215" s="18"/>
      <c r="L215" s="25"/>
    </row>
    <row r="216" customHeight="1" spans="1:12">
      <c r="A216" s="14" t="str">
        <f t="shared" si="4"/>
        <v>0x0000041C</v>
      </c>
      <c r="B216" s="15">
        <f>SUM_HEX(C215:F215,B215,3)</f>
        <v>1052</v>
      </c>
      <c r="C216" s="16" t="s">
        <v>274</v>
      </c>
      <c r="D216" s="16"/>
      <c r="E216" s="16"/>
      <c r="F216" s="16"/>
      <c r="G216" s="48"/>
      <c r="H216" s="48"/>
      <c r="I216" s="18"/>
      <c r="J216" s="18"/>
      <c r="K216" s="18"/>
      <c r="L216" s="25"/>
    </row>
    <row r="217" customHeight="1" spans="1:12">
      <c r="A217" s="14" t="str">
        <f t="shared" si="4"/>
        <v>0x00000420</v>
      </c>
      <c r="B217" s="15">
        <f>SUM_HEX(C216:F216,B216,3)</f>
        <v>1056</v>
      </c>
      <c r="C217" s="16" t="s">
        <v>23</v>
      </c>
      <c r="D217" s="16"/>
      <c r="E217" s="16"/>
      <c r="F217" s="16"/>
      <c r="G217" s="18" t="s">
        <v>15</v>
      </c>
      <c r="H217" s="18"/>
      <c r="I217" s="24" t="s">
        <v>443</v>
      </c>
      <c r="J217" s="18"/>
      <c r="K217" s="18" t="s">
        <v>416</v>
      </c>
      <c r="L217" s="25"/>
    </row>
    <row r="218" customHeight="1" spans="1:12">
      <c r="A218" s="14" t="str">
        <f t="shared" si="4"/>
        <v>0x00000424</v>
      </c>
      <c r="B218" s="15">
        <f>SUM_HEX(C217:F217,B217,3)</f>
        <v>1060</v>
      </c>
      <c r="C218" s="16" t="s">
        <v>23</v>
      </c>
      <c r="D218" s="16"/>
      <c r="E218" s="16"/>
      <c r="F218" s="16"/>
      <c r="G218" s="46" t="s">
        <v>157</v>
      </c>
      <c r="H218" s="46" t="s">
        <v>212</v>
      </c>
      <c r="I218" s="18" t="s">
        <v>444</v>
      </c>
      <c r="J218" s="18"/>
      <c r="K218" s="18"/>
      <c r="L218" s="25"/>
    </row>
    <row r="219" customHeight="1" spans="1:12">
      <c r="A219" s="14" t="str">
        <f t="shared" si="4"/>
        <v>0x00000428</v>
      </c>
      <c r="B219" s="15">
        <f>SUM_HEX(C218:F218,B218,3)</f>
        <v>1064</v>
      </c>
      <c r="C219" s="16" t="s">
        <v>445</v>
      </c>
      <c r="D219" s="16"/>
      <c r="E219" s="16"/>
      <c r="F219" s="16"/>
      <c r="G219" s="47"/>
      <c r="H219" s="47"/>
      <c r="I219" s="18"/>
      <c r="J219" s="18"/>
      <c r="K219" s="18"/>
      <c r="L219" s="25"/>
    </row>
    <row r="220" customHeight="1" spans="1:12">
      <c r="A220" s="14" t="str">
        <f t="shared" si="4"/>
        <v>0x0000042C</v>
      </c>
      <c r="B220" s="15">
        <f>SUM_HEX(C219:F219,B219,3)</f>
        <v>1068</v>
      </c>
      <c r="C220" s="16" t="s">
        <v>23</v>
      </c>
      <c r="D220" s="16" t="s">
        <v>23</v>
      </c>
      <c r="E220" s="16"/>
      <c r="F220" s="16"/>
      <c r="G220" s="47"/>
      <c r="H220" s="47"/>
      <c r="I220" s="18"/>
      <c r="J220" s="18"/>
      <c r="K220" s="18"/>
      <c r="L220" s="25"/>
    </row>
    <row r="221" customHeight="1" spans="1:12">
      <c r="A221" s="14" t="str">
        <f t="shared" si="4"/>
        <v>0x00000434</v>
      </c>
      <c r="B221" s="15">
        <f>SUM_HEX(C220:F220,B220,3)</f>
        <v>1076</v>
      </c>
      <c r="C221" s="16" t="s">
        <v>274</v>
      </c>
      <c r="D221" s="16"/>
      <c r="E221" s="16"/>
      <c r="F221" s="16"/>
      <c r="G221" s="48"/>
      <c r="H221" s="48"/>
      <c r="I221" s="18"/>
      <c r="J221" s="18"/>
      <c r="K221" s="18"/>
      <c r="L221" s="25"/>
    </row>
    <row r="222" customHeight="1" spans="1:12">
      <c r="A222" s="14" t="str">
        <f t="shared" si="4"/>
        <v>0x00000438</v>
      </c>
      <c r="B222" s="15">
        <f>SUM_HEX(C221:F221,B221,3)</f>
        <v>1080</v>
      </c>
      <c r="C222" s="16" t="s">
        <v>23</v>
      </c>
      <c r="D222" s="16"/>
      <c r="E222" s="16"/>
      <c r="F222" s="16"/>
      <c r="G222" s="46" t="s">
        <v>157</v>
      </c>
      <c r="H222" s="46" t="s">
        <v>212</v>
      </c>
      <c r="I222" s="18" t="s">
        <v>446</v>
      </c>
      <c r="J222" s="18"/>
      <c r="K222" s="18"/>
      <c r="L222" s="25"/>
    </row>
    <row r="223" customHeight="1" spans="1:12">
      <c r="A223" s="14" t="str">
        <f t="shared" si="4"/>
        <v>0x0000043C</v>
      </c>
      <c r="B223" s="15">
        <f>SUM_HEX(C222:F222,B222,3)</f>
        <v>1084</v>
      </c>
      <c r="C223" s="16" t="s">
        <v>447</v>
      </c>
      <c r="D223" s="16"/>
      <c r="E223" s="16"/>
      <c r="F223" s="16"/>
      <c r="G223" s="47"/>
      <c r="H223" s="47"/>
      <c r="I223" s="18"/>
      <c r="J223" s="18"/>
      <c r="K223" s="18"/>
      <c r="L223" s="25"/>
    </row>
    <row r="224" customHeight="1" spans="1:12">
      <c r="A224" s="14" t="str">
        <f t="shared" si="4"/>
        <v>0x00000440</v>
      </c>
      <c r="B224" s="15">
        <f>SUM_HEX(C223:F223,B223,3)</f>
        <v>1088</v>
      </c>
      <c r="C224" s="16" t="s">
        <v>23</v>
      </c>
      <c r="D224" s="16" t="s">
        <v>23</v>
      </c>
      <c r="E224" s="16"/>
      <c r="F224" s="16"/>
      <c r="G224" s="47"/>
      <c r="H224" s="47"/>
      <c r="I224" s="18"/>
      <c r="J224" s="18"/>
      <c r="K224" s="18"/>
      <c r="L224" s="25"/>
    </row>
    <row r="225" customHeight="1" spans="1:12">
      <c r="A225" s="14" t="str">
        <f t="shared" si="4"/>
        <v>0x00000448</v>
      </c>
      <c r="B225" s="15">
        <f>SUM_HEX(C224:F224,B224,3)</f>
        <v>1096</v>
      </c>
      <c r="C225" s="16" t="s">
        <v>274</v>
      </c>
      <c r="D225" s="16"/>
      <c r="E225" s="16"/>
      <c r="F225" s="16"/>
      <c r="G225" s="48"/>
      <c r="H225" s="48"/>
      <c r="I225" s="18"/>
      <c r="J225" s="18"/>
      <c r="K225" s="18"/>
      <c r="L225" s="25"/>
    </row>
    <row r="226" customHeight="1" spans="1:12">
      <c r="A226" s="14" t="str">
        <f t="shared" si="4"/>
        <v>0x0000044C</v>
      </c>
      <c r="B226" s="15">
        <f>SUM_HEX(C225:F225,B225,3)</f>
        <v>1100</v>
      </c>
      <c r="C226" s="16" t="s">
        <v>23</v>
      </c>
      <c r="D226" s="16"/>
      <c r="E226" s="16"/>
      <c r="F226" s="16"/>
      <c r="G226" s="18" t="s">
        <v>15</v>
      </c>
      <c r="H226" s="18"/>
      <c r="I226" s="24" t="s">
        <v>448</v>
      </c>
      <c r="J226" s="18"/>
      <c r="K226" s="18" t="s">
        <v>416</v>
      </c>
      <c r="L226" s="25"/>
    </row>
    <row r="227" customHeight="1" spans="1:12">
      <c r="A227" s="14" t="str">
        <f t="shared" si="4"/>
        <v>0x00000450</v>
      </c>
      <c r="B227" s="15">
        <f>SUM_HEX(C226:F226,B226,3)</f>
        <v>1104</v>
      </c>
      <c r="C227" s="16" t="s">
        <v>23</v>
      </c>
      <c r="D227" s="16"/>
      <c r="E227" s="16"/>
      <c r="F227" s="16"/>
      <c r="G227" s="46" t="s">
        <v>157</v>
      </c>
      <c r="H227" s="46" t="s">
        <v>212</v>
      </c>
      <c r="I227" s="18" t="s">
        <v>449</v>
      </c>
      <c r="J227" s="18"/>
      <c r="K227" s="18"/>
      <c r="L227" s="25"/>
    </row>
    <row r="228" customHeight="1" spans="1:12">
      <c r="A228" s="14" t="str">
        <f t="shared" si="4"/>
        <v>0x00000454</v>
      </c>
      <c r="B228" s="15">
        <f>SUM_HEX(C227:F227,B227,3)</f>
        <v>1108</v>
      </c>
      <c r="C228" s="16" t="s">
        <v>450</v>
      </c>
      <c r="D228" s="16"/>
      <c r="E228" s="16"/>
      <c r="F228" s="16"/>
      <c r="G228" s="47"/>
      <c r="H228" s="47"/>
      <c r="I228" s="18"/>
      <c r="J228" s="18"/>
      <c r="K228" s="18"/>
      <c r="L228" s="25"/>
    </row>
    <row r="229" customHeight="1" spans="1:12">
      <c r="A229" s="14" t="str">
        <f t="shared" si="4"/>
        <v>0x00000458</v>
      </c>
      <c r="B229" s="15">
        <f>SUM_HEX(C228:F228,B228,3)</f>
        <v>1112</v>
      </c>
      <c r="C229" s="16" t="s">
        <v>23</v>
      </c>
      <c r="D229" s="16" t="s">
        <v>23</v>
      </c>
      <c r="E229" s="16"/>
      <c r="F229" s="16"/>
      <c r="G229" s="47"/>
      <c r="H229" s="47"/>
      <c r="I229" s="18"/>
      <c r="J229" s="18"/>
      <c r="K229" s="18"/>
      <c r="L229" s="25"/>
    </row>
    <row r="230" customHeight="1" spans="1:12">
      <c r="A230" s="14" t="str">
        <f t="shared" si="4"/>
        <v>0x00000460</v>
      </c>
      <c r="B230" s="15">
        <f>SUM_HEX(C229:F229,B229,3)</f>
        <v>1120</v>
      </c>
      <c r="C230" s="16" t="s">
        <v>274</v>
      </c>
      <c r="D230" s="16"/>
      <c r="E230" s="16"/>
      <c r="F230" s="16"/>
      <c r="G230" s="48"/>
      <c r="H230" s="48"/>
      <c r="I230" s="18"/>
      <c r="J230" s="18"/>
      <c r="K230" s="18"/>
      <c r="L230" s="25"/>
    </row>
    <row r="231" customHeight="1" spans="1:12">
      <c r="A231" s="14" t="str">
        <f t="shared" si="4"/>
        <v>0x00000464</v>
      </c>
      <c r="B231" s="15">
        <f>SUM_HEX(C230:F230,B230,3)</f>
        <v>1124</v>
      </c>
      <c r="C231" s="16" t="s">
        <v>23</v>
      </c>
      <c r="D231" s="16"/>
      <c r="E231" s="16"/>
      <c r="F231" s="16"/>
      <c r="G231" s="46" t="s">
        <v>157</v>
      </c>
      <c r="H231" s="46" t="s">
        <v>212</v>
      </c>
      <c r="I231" s="18" t="s">
        <v>451</v>
      </c>
      <c r="J231" s="18"/>
      <c r="K231" s="18"/>
      <c r="L231" s="25"/>
    </row>
    <row r="232" customHeight="1" spans="1:12">
      <c r="A232" s="14" t="str">
        <f t="shared" si="4"/>
        <v>0x00000468</v>
      </c>
      <c r="B232" s="15">
        <f>SUM_HEX(C231:F231,B231,3)</f>
        <v>1128</v>
      </c>
      <c r="C232" s="16" t="s">
        <v>452</v>
      </c>
      <c r="D232" s="16"/>
      <c r="E232" s="16"/>
      <c r="F232" s="16"/>
      <c r="G232" s="47"/>
      <c r="H232" s="47"/>
      <c r="I232" s="18"/>
      <c r="J232" s="18"/>
      <c r="K232" s="18"/>
      <c r="L232" s="25"/>
    </row>
    <row r="233" customHeight="1" spans="1:12">
      <c r="A233" s="14" t="str">
        <f t="shared" si="4"/>
        <v>0x0000046C</v>
      </c>
      <c r="B233" s="15">
        <f>SUM_HEX(C232:F232,B232,3)</f>
        <v>1132</v>
      </c>
      <c r="C233" s="16" t="s">
        <v>23</v>
      </c>
      <c r="D233" s="16" t="s">
        <v>23</v>
      </c>
      <c r="E233" s="16"/>
      <c r="F233" s="16"/>
      <c r="G233" s="47"/>
      <c r="H233" s="47"/>
      <c r="I233" s="18"/>
      <c r="J233" s="18"/>
      <c r="K233" s="18"/>
      <c r="L233" s="25"/>
    </row>
    <row r="234" customHeight="1" spans="1:12">
      <c r="A234" s="14" t="str">
        <f t="shared" si="4"/>
        <v>0x00000474</v>
      </c>
      <c r="B234" s="15">
        <f>SUM_HEX(C233:F233,B233,3)</f>
        <v>1140</v>
      </c>
      <c r="C234" s="16" t="s">
        <v>274</v>
      </c>
      <c r="D234" s="16"/>
      <c r="E234" s="16"/>
      <c r="F234" s="16"/>
      <c r="G234" s="48"/>
      <c r="H234" s="48"/>
      <c r="I234" s="18"/>
      <c r="J234" s="18"/>
      <c r="K234" s="18"/>
      <c r="L234" s="25"/>
    </row>
    <row r="235" customHeight="1" spans="1:12">
      <c r="A235" s="14" t="str">
        <f t="shared" si="4"/>
        <v>0x00000478</v>
      </c>
      <c r="B235" s="15">
        <f>SUM_HEX(C234:F234,B234,3)</f>
        <v>1144</v>
      </c>
      <c r="C235" s="16" t="s">
        <v>23</v>
      </c>
      <c r="D235" s="16"/>
      <c r="E235" s="16"/>
      <c r="F235" s="16"/>
      <c r="G235" s="18" t="s">
        <v>15</v>
      </c>
      <c r="H235" s="18"/>
      <c r="I235" s="24" t="s">
        <v>453</v>
      </c>
      <c r="J235" s="18"/>
      <c r="K235" s="18" t="s">
        <v>416</v>
      </c>
      <c r="L235" s="25"/>
    </row>
    <row r="236" customHeight="1" spans="1:12">
      <c r="A236" s="14" t="str">
        <f t="shared" si="4"/>
        <v>0x0000047C</v>
      </c>
      <c r="B236" s="15">
        <f>SUM_HEX(C235:F235,B235,3)</f>
        <v>1148</v>
      </c>
      <c r="C236" s="16" t="s">
        <v>23</v>
      </c>
      <c r="D236" s="16"/>
      <c r="E236" s="16"/>
      <c r="F236" s="16"/>
      <c r="G236" s="46" t="s">
        <v>157</v>
      </c>
      <c r="H236" s="46" t="s">
        <v>212</v>
      </c>
      <c r="I236" s="18" t="s">
        <v>454</v>
      </c>
      <c r="J236" s="18"/>
      <c r="K236" s="18"/>
      <c r="L236" s="25"/>
    </row>
    <row r="237" customHeight="1" spans="1:12">
      <c r="A237" s="14" t="str">
        <f t="shared" si="4"/>
        <v>0x00000480</v>
      </c>
      <c r="B237" s="15">
        <f>SUM_HEX(C236:F236,B236,3)</f>
        <v>1152</v>
      </c>
      <c r="C237" s="16" t="s">
        <v>455</v>
      </c>
      <c r="D237" s="16"/>
      <c r="E237" s="16"/>
      <c r="F237" s="16"/>
      <c r="G237" s="47"/>
      <c r="H237" s="47"/>
      <c r="I237" s="18"/>
      <c r="J237" s="18"/>
      <c r="K237" s="18"/>
      <c r="L237" s="25"/>
    </row>
    <row r="238" customHeight="1" spans="1:12">
      <c r="A238" s="14" t="str">
        <f t="shared" si="4"/>
        <v>0x00000484</v>
      </c>
      <c r="B238" s="15">
        <f>SUM_HEX(C237:F237,B237,3)</f>
        <v>1156</v>
      </c>
      <c r="C238" s="16" t="s">
        <v>23</v>
      </c>
      <c r="D238" s="16" t="s">
        <v>23</v>
      </c>
      <c r="E238" s="16"/>
      <c r="F238" s="16"/>
      <c r="G238" s="47"/>
      <c r="H238" s="47"/>
      <c r="I238" s="18"/>
      <c r="J238" s="18"/>
      <c r="K238" s="18"/>
      <c r="L238" s="25"/>
    </row>
    <row r="239" customHeight="1" spans="1:12">
      <c r="A239" s="14" t="str">
        <f t="shared" si="4"/>
        <v>0x0000048C</v>
      </c>
      <c r="B239" s="15">
        <f>SUM_HEX(C238:F238,B238,3)</f>
        <v>1164</v>
      </c>
      <c r="C239" s="16" t="s">
        <v>274</v>
      </c>
      <c r="D239" s="16"/>
      <c r="E239" s="16"/>
      <c r="F239" s="16"/>
      <c r="G239" s="48"/>
      <c r="H239" s="48"/>
      <c r="I239" s="18"/>
      <c r="J239" s="18"/>
      <c r="K239" s="18"/>
      <c r="L239" s="25"/>
    </row>
    <row r="240" customHeight="1" spans="1:12">
      <c r="A240" s="14" t="str">
        <f t="shared" si="4"/>
        <v>0x00000490</v>
      </c>
      <c r="B240" s="15">
        <f>SUM_HEX(C239:F239,B239,3)</f>
        <v>1168</v>
      </c>
      <c r="C240" s="16" t="s">
        <v>23</v>
      </c>
      <c r="D240" s="16"/>
      <c r="E240" s="16"/>
      <c r="F240" s="16"/>
      <c r="G240" s="46" t="s">
        <v>157</v>
      </c>
      <c r="H240" s="46" t="s">
        <v>212</v>
      </c>
      <c r="I240" s="18" t="s">
        <v>456</v>
      </c>
      <c r="J240" s="18"/>
      <c r="K240" s="18"/>
      <c r="L240" s="25"/>
    </row>
    <row r="241" customHeight="1" spans="1:12">
      <c r="A241" s="14" t="str">
        <f t="shared" si="4"/>
        <v>0x00000494</v>
      </c>
      <c r="B241" s="15">
        <f>SUM_HEX(C240:F240,B240,3)</f>
        <v>1172</v>
      </c>
      <c r="C241" s="16" t="s">
        <v>457</v>
      </c>
      <c r="D241" s="16"/>
      <c r="E241" s="16"/>
      <c r="F241" s="16"/>
      <c r="G241" s="47"/>
      <c r="H241" s="47"/>
      <c r="I241" s="18"/>
      <c r="J241" s="18"/>
      <c r="K241" s="18"/>
      <c r="L241" s="25"/>
    </row>
    <row r="242" customHeight="1" spans="1:12">
      <c r="A242" s="14" t="str">
        <f t="shared" si="4"/>
        <v>0x00000498</v>
      </c>
      <c r="B242" s="15">
        <f>SUM_HEX(C241:F241,B241,3)</f>
        <v>1176</v>
      </c>
      <c r="C242" s="16" t="s">
        <v>23</v>
      </c>
      <c r="D242" s="16" t="s">
        <v>23</v>
      </c>
      <c r="E242" s="16"/>
      <c r="F242" s="16"/>
      <c r="G242" s="47"/>
      <c r="H242" s="47"/>
      <c r="I242" s="18"/>
      <c r="J242" s="18"/>
      <c r="K242" s="18"/>
      <c r="L242" s="25"/>
    </row>
    <row r="243" customHeight="1" spans="1:12">
      <c r="A243" s="14" t="str">
        <f t="shared" si="4"/>
        <v>0x000004A0</v>
      </c>
      <c r="B243" s="15">
        <f>SUM_HEX(C242:F242,B242,3)</f>
        <v>1184</v>
      </c>
      <c r="C243" s="16" t="s">
        <v>274</v>
      </c>
      <c r="D243" s="16"/>
      <c r="E243" s="16"/>
      <c r="F243" s="16"/>
      <c r="G243" s="48"/>
      <c r="H243" s="48"/>
      <c r="I243" s="18"/>
      <c r="J243" s="18"/>
      <c r="K243" s="18"/>
      <c r="L243" s="25"/>
    </row>
    <row r="244" customHeight="1" spans="1:12">
      <c r="A244" s="14" t="str">
        <f t="shared" si="4"/>
        <v>0x000004A4</v>
      </c>
      <c r="B244" s="15">
        <f>SUM_HEX(C243:F243,B243,3)</f>
        <v>1188</v>
      </c>
      <c r="C244" s="16" t="s">
        <v>23</v>
      </c>
      <c r="D244" s="16"/>
      <c r="E244" s="16"/>
      <c r="F244" s="16"/>
      <c r="G244" s="46" t="s">
        <v>157</v>
      </c>
      <c r="H244" s="46" t="s">
        <v>212</v>
      </c>
      <c r="I244" s="18" t="s">
        <v>458</v>
      </c>
      <c r="J244" s="18"/>
      <c r="K244" s="18"/>
      <c r="L244" s="25" t="s">
        <v>272</v>
      </c>
    </row>
    <row r="245" customHeight="1" spans="1:12">
      <c r="A245" s="14" t="str">
        <f t="shared" si="4"/>
        <v>0x000004A8</v>
      </c>
      <c r="B245" s="15">
        <f>SUM_HEX(C244:F244,B244,3)</f>
        <v>1192</v>
      </c>
      <c r="C245" s="16" t="s">
        <v>459</v>
      </c>
      <c r="D245" s="16"/>
      <c r="E245" s="16"/>
      <c r="F245" s="16"/>
      <c r="G245" s="47"/>
      <c r="H245" s="47"/>
      <c r="I245" s="18"/>
      <c r="J245" s="18"/>
      <c r="K245" s="18"/>
      <c r="L245" s="25"/>
    </row>
    <row r="246" customHeight="1" spans="1:12">
      <c r="A246" s="14" t="str">
        <f t="shared" si="4"/>
        <v>0x000004AC</v>
      </c>
      <c r="B246" s="15">
        <f>SUM_HEX(C245:F245,B245,3)</f>
        <v>1196</v>
      </c>
      <c r="C246" s="16" t="s">
        <v>23</v>
      </c>
      <c r="D246" s="16" t="s">
        <v>23</v>
      </c>
      <c r="E246" s="16"/>
      <c r="F246" s="16"/>
      <c r="G246" s="47"/>
      <c r="H246" s="47"/>
      <c r="I246" s="18"/>
      <c r="J246" s="18"/>
      <c r="K246" s="18"/>
      <c r="L246" s="25"/>
    </row>
    <row r="247" customHeight="1" spans="1:12">
      <c r="A247" s="14" t="str">
        <f t="shared" si="4"/>
        <v>0x000004B4</v>
      </c>
      <c r="B247" s="15">
        <f>SUM_HEX(C246:F246,B246,3)</f>
        <v>1204</v>
      </c>
      <c r="C247" s="16" t="s">
        <v>274</v>
      </c>
      <c r="D247" s="16"/>
      <c r="E247" s="16"/>
      <c r="F247" s="16"/>
      <c r="G247" s="48"/>
      <c r="H247" s="48"/>
      <c r="I247" s="18"/>
      <c r="J247" s="18"/>
      <c r="K247" s="18"/>
      <c r="L247" s="25"/>
    </row>
    <row r="248" customHeight="1" spans="1:12">
      <c r="A248" s="14" t="str">
        <f t="shared" si="4"/>
        <v>0x000004B8</v>
      </c>
      <c r="B248" s="15">
        <f>SUM_HEX(C247:F247,B247,3)</f>
        <v>1208</v>
      </c>
      <c r="C248" s="16" t="s">
        <v>23</v>
      </c>
      <c r="D248" s="16"/>
      <c r="E248" s="16"/>
      <c r="F248" s="16"/>
      <c r="G248" s="46" t="s">
        <v>157</v>
      </c>
      <c r="H248" s="46" t="s">
        <v>212</v>
      </c>
      <c r="I248" s="18" t="s">
        <v>460</v>
      </c>
      <c r="J248" s="18"/>
      <c r="K248" s="18"/>
      <c r="L248" s="25"/>
    </row>
    <row r="249" customHeight="1" spans="1:12">
      <c r="A249" s="14" t="str">
        <f t="shared" si="4"/>
        <v>0x000004BC</v>
      </c>
      <c r="B249" s="15">
        <f>SUM_HEX(C248:F248,B248,3)</f>
        <v>1212</v>
      </c>
      <c r="C249" s="16" t="s">
        <v>461</v>
      </c>
      <c r="D249" s="16"/>
      <c r="E249" s="16"/>
      <c r="F249" s="16"/>
      <c r="G249" s="47"/>
      <c r="H249" s="47"/>
      <c r="I249" s="18"/>
      <c r="J249" s="18"/>
      <c r="K249" s="18"/>
      <c r="L249" s="25"/>
    </row>
    <row r="250" customHeight="1" spans="1:12">
      <c r="A250" s="14" t="str">
        <f t="shared" si="4"/>
        <v>0x000004C0</v>
      </c>
      <c r="B250" s="15">
        <f>SUM_HEX(C249:F249,B249,3)</f>
        <v>1216</v>
      </c>
      <c r="C250" s="16" t="s">
        <v>23</v>
      </c>
      <c r="D250" s="16" t="s">
        <v>23</v>
      </c>
      <c r="E250" s="16"/>
      <c r="F250" s="16"/>
      <c r="G250" s="47"/>
      <c r="H250" s="47"/>
      <c r="I250" s="18"/>
      <c r="J250" s="18"/>
      <c r="K250" s="18"/>
      <c r="L250" s="25"/>
    </row>
    <row r="251" customHeight="1" spans="1:12">
      <c r="A251" s="14" t="str">
        <f t="shared" si="4"/>
        <v>0x000004C8</v>
      </c>
      <c r="B251" s="15">
        <f>SUM_HEX(C250:F250,B250,3)</f>
        <v>1224</v>
      </c>
      <c r="C251" s="16" t="s">
        <v>274</v>
      </c>
      <c r="D251" s="16"/>
      <c r="E251" s="16"/>
      <c r="F251" s="16"/>
      <c r="G251" s="48"/>
      <c r="H251" s="48"/>
      <c r="I251" s="18"/>
      <c r="J251" s="18"/>
      <c r="K251" s="18"/>
      <c r="L251" s="25"/>
    </row>
    <row r="252" customHeight="1" spans="1:12">
      <c r="A252" s="14" t="str">
        <f t="shared" si="4"/>
        <v>0x000004CC</v>
      </c>
      <c r="B252" s="15">
        <f>SUM_HEX(C251:F251,B251,3)</f>
        <v>1228</v>
      </c>
      <c r="C252" s="16" t="s">
        <v>462</v>
      </c>
      <c r="D252" s="16"/>
      <c r="E252" s="16"/>
      <c r="F252" s="16"/>
      <c r="G252" s="18" t="s">
        <v>33</v>
      </c>
      <c r="H252" s="18" t="s">
        <v>54</v>
      </c>
      <c r="I252" s="24" t="s">
        <v>463</v>
      </c>
      <c r="J252" s="24" t="s">
        <v>464</v>
      </c>
      <c r="K252" s="18"/>
      <c r="L252" s="25"/>
    </row>
    <row r="253" customHeight="1" spans="1:12">
      <c r="A253" s="14"/>
      <c r="B253" s="15"/>
      <c r="C253" s="16"/>
      <c r="D253" s="16"/>
      <c r="E253" s="16"/>
      <c r="F253" s="16"/>
      <c r="G253" s="18"/>
      <c r="H253" s="18" t="s">
        <v>57</v>
      </c>
      <c r="I253" s="24"/>
      <c r="J253" s="24" t="s">
        <v>465</v>
      </c>
      <c r="K253" s="18"/>
      <c r="L253" s="25"/>
    </row>
    <row r="254" customHeight="1" spans="1:12">
      <c r="A254" s="14"/>
      <c r="B254" s="15"/>
      <c r="C254" s="16"/>
      <c r="D254" s="16"/>
      <c r="E254" s="16"/>
      <c r="F254" s="16"/>
      <c r="G254" s="18"/>
      <c r="H254" s="18" t="s">
        <v>58</v>
      </c>
      <c r="I254" s="24"/>
      <c r="J254" s="24" t="s">
        <v>466</v>
      </c>
      <c r="K254" s="18"/>
      <c r="L254" s="25"/>
    </row>
    <row r="255" customHeight="1" spans="1:12">
      <c r="A255" s="14"/>
      <c r="B255" s="15"/>
      <c r="C255" s="16"/>
      <c r="D255" s="16"/>
      <c r="E255" s="16"/>
      <c r="F255" s="16"/>
      <c r="G255" s="18"/>
      <c r="H255" s="18" t="s">
        <v>59</v>
      </c>
      <c r="I255" s="24"/>
      <c r="J255" s="24" t="s">
        <v>467</v>
      </c>
      <c r="K255" s="18"/>
      <c r="L255" s="25"/>
    </row>
    <row r="256" customHeight="1" spans="1:12">
      <c r="A256" s="14"/>
      <c r="B256" s="15"/>
      <c r="C256" s="16"/>
      <c r="D256" s="16"/>
      <c r="E256" s="16"/>
      <c r="F256" s="16"/>
      <c r="G256" s="18"/>
      <c r="H256" s="18" t="s">
        <v>60</v>
      </c>
      <c r="I256" s="24"/>
      <c r="J256" s="24" t="s">
        <v>468</v>
      </c>
      <c r="K256" s="18"/>
      <c r="L256" s="25"/>
    </row>
    <row r="257" customHeight="1" spans="1:12">
      <c r="A257" s="14"/>
      <c r="B257" s="15"/>
      <c r="C257" s="16"/>
      <c r="D257" s="16"/>
      <c r="E257" s="16"/>
      <c r="F257" s="16"/>
      <c r="G257" s="18"/>
      <c r="H257" s="18" t="s">
        <v>61</v>
      </c>
      <c r="I257" s="24"/>
      <c r="J257" s="18"/>
      <c r="K257" s="18"/>
      <c r="L257" s="25"/>
    </row>
    <row r="258" customHeight="1" spans="1:12">
      <c r="A258" s="14"/>
      <c r="B258" s="15"/>
      <c r="C258" s="16"/>
      <c r="D258" s="16"/>
      <c r="E258" s="16"/>
      <c r="F258" s="16"/>
      <c r="G258" s="18"/>
      <c r="H258" s="18" t="s">
        <v>62</v>
      </c>
      <c r="I258" s="24"/>
      <c r="J258" s="24" t="s">
        <v>469</v>
      </c>
      <c r="K258" s="18"/>
      <c r="L258" s="25"/>
    </row>
    <row r="259" customHeight="1" spans="1:12">
      <c r="A259" s="14"/>
      <c r="B259" s="15"/>
      <c r="C259" s="16"/>
      <c r="D259" s="16"/>
      <c r="E259" s="16"/>
      <c r="F259" s="16"/>
      <c r="G259" s="18"/>
      <c r="H259" s="18" t="s">
        <v>63</v>
      </c>
      <c r="I259" s="24"/>
      <c r="J259" s="24" t="s">
        <v>470</v>
      </c>
      <c r="K259" s="18"/>
      <c r="L259" s="25"/>
    </row>
    <row r="260" customHeight="1" spans="1:12">
      <c r="A260" s="14"/>
      <c r="B260" s="15"/>
      <c r="C260" s="16"/>
      <c r="D260" s="16"/>
      <c r="E260" s="16"/>
      <c r="F260" s="16"/>
      <c r="G260" s="18"/>
      <c r="H260" s="18" t="s">
        <v>64</v>
      </c>
      <c r="I260" s="24"/>
      <c r="J260" s="24" t="s">
        <v>471</v>
      </c>
      <c r="K260" s="18"/>
      <c r="L260" s="25"/>
    </row>
    <row r="261" customHeight="1" spans="1:12">
      <c r="A261" s="14"/>
      <c r="B261" s="15"/>
      <c r="C261" s="16"/>
      <c r="D261" s="16"/>
      <c r="E261" s="16"/>
      <c r="F261" s="16"/>
      <c r="G261" s="18"/>
      <c r="H261" s="18" t="s">
        <v>65</v>
      </c>
      <c r="I261" s="24"/>
      <c r="J261" s="24" t="s">
        <v>472</v>
      </c>
      <c r="K261" s="18"/>
      <c r="L261" s="25"/>
    </row>
    <row r="262" customHeight="1" spans="1:12">
      <c r="A262" s="14"/>
      <c r="B262" s="15"/>
      <c r="C262" s="16"/>
      <c r="D262" s="16"/>
      <c r="E262" s="16"/>
      <c r="F262" s="16"/>
      <c r="G262" s="18"/>
      <c r="H262" s="18" t="s">
        <v>66</v>
      </c>
      <c r="I262" s="24"/>
      <c r="J262" s="24" t="s">
        <v>473</v>
      </c>
      <c r="K262" s="18"/>
      <c r="L262" s="25"/>
    </row>
    <row r="263" customHeight="1" spans="1:12">
      <c r="A263" s="14"/>
      <c r="B263" s="15"/>
      <c r="C263" s="16"/>
      <c r="D263" s="16"/>
      <c r="E263" s="16"/>
      <c r="F263" s="16"/>
      <c r="G263" s="18"/>
      <c r="H263" s="18" t="s">
        <v>67</v>
      </c>
      <c r="I263" s="24"/>
      <c r="J263" s="24" t="s">
        <v>474</v>
      </c>
      <c r="K263" s="18"/>
      <c r="L263" s="25"/>
    </row>
    <row r="264" customHeight="1" spans="1:12">
      <c r="A264" s="14"/>
      <c r="B264" s="15"/>
      <c r="C264" s="16"/>
      <c r="D264" s="16"/>
      <c r="E264" s="16"/>
      <c r="F264" s="16"/>
      <c r="G264" s="18"/>
      <c r="H264" s="18" t="s">
        <v>68</v>
      </c>
      <c r="I264" s="24"/>
      <c r="J264" s="24" t="s">
        <v>475</v>
      </c>
      <c r="K264" s="18"/>
      <c r="L264" s="25"/>
    </row>
    <row r="265" customHeight="1" spans="1:12">
      <c r="A265" s="14"/>
      <c r="B265" s="15"/>
      <c r="C265" s="16"/>
      <c r="D265" s="16"/>
      <c r="E265" s="16"/>
      <c r="F265" s="16"/>
      <c r="G265" s="18"/>
      <c r="H265" s="18" t="s">
        <v>69</v>
      </c>
      <c r="I265" s="24"/>
      <c r="J265" s="24" t="s">
        <v>476</v>
      </c>
      <c r="K265" s="18"/>
      <c r="L265" s="25"/>
    </row>
    <row r="266" customHeight="1" spans="1:12">
      <c r="A266" s="14"/>
      <c r="B266" s="15"/>
      <c r="C266" s="16"/>
      <c r="D266" s="16"/>
      <c r="E266" s="16"/>
      <c r="F266" s="16"/>
      <c r="G266" s="18"/>
      <c r="H266" s="18" t="s">
        <v>70</v>
      </c>
      <c r="I266" s="24"/>
      <c r="J266" s="24" t="s">
        <v>477</v>
      </c>
      <c r="K266" s="18"/>
      <c r="L266" s="25"/>
    </row>
    <row r="267" customHeight="1" spans="1:12">
      <c r="A267" s="14"/>
      <c r="B267" s="15"/>
      <c r="C267" s="16"/>
      <c r="D267" s="16"/>
      <c r="E267" s="16"/>
      <c r="F267" s="16"/>
      <c r="G267" s="18"/>
      <c r="H267" s="18" t="s">
        <v>71</v>
      </c>
      <c r="I267" s="24"/>
      <c r="J267" s="24" t="s">
        <v>478</v>
      </c>
      <c r="K267" s="18"/>
      <c r="L267" s="25"/>
    </row>
    <row r="268" customHeight="1" spans="1:12">
      <c r="A268" s="14"/>
      <c r="B268" s="15"/>
      <c r="C268" s="16"/>
      <c r="D268" s="16"/>
      <c r="E268" s="16"/>
      <c r="F268" s="16"/>
      <c r="G268" s="18"/>
      <c r="H268" s="18" t="s">
        <v>72</v>
      </c>
      <c r="I268" s="24"/>
      <c r="J268" s="24" t="s">
        <v>479</v>
      </c>
      <c r="K268" s="18"/>
      <c r="L268" s="25"/>
    </row>
    <row r="269" customHeight="1" spans="1:12">
      <c r="A269" s="14"/>
      <c r="B269" s="15"/>
      <c r="C269" s="16"/>
      <c r="D269" s="16"/>
      <c r="E269" s="16"/>
      <c r="F269" s="16"/>
      <c r="G269" s="18"/>
      <c r="H269" s="18" t="s">
        <v>73</v>
      </c>
      <c r="I269" s="24"/>
      <c r="J269" s="24" t="s">
        <v>480</v>
      </c>
      <c r="K269" s="18"/>
      <c r="L269" s="25"/>
    </row>
    <row r="270" customHeight="1" spans="1:12">
      <c r="A270" s="14"/>
      <c r="B270" s="15"/>
      <c r="C270" s="16"/>
      <c r="D270" s="16"/>
      <c r="E270" s="16"/>
      <c r="F270" s="16"/>
      <c r="G270" s="18"/>
      <c r="H270" s="18" t="s">
        <v>74</v>
      </c>
      <c r="I270" s="24"/>
      <c r="J270" s="24" t="s">
        <v>481</v>
      </c>
      <c r="K270" s="18"/>
      <c r="L270" s="25"/>
    </row>
    <row r="271" customHeight="1" spans="1:12">
      <c r="A271" s="14"/>
      <c r="B271" s="15"/>
      <c r="C271" s="16"/>
      <c r="D271" s="16"/>
      <c r="E271" s="16"/>
      <c r="F271" s="16"/>
      <c r="G271" s="18"/>
      <c r="H271" s="18" t="s">
        <v>75</v>
      </c>
      <c r="I271" s="24"/>
      <c r="J271" s="24" t="s">
        <v>482</v>
      </c>
      <c r="K271" s="18"/>
      <c r="L271" s="25"/>
    </row>
    <row r="272" customHeight="1" spans="1:12">
      <c r="A272" s="14"/>
      <c r="B272" s="15"/>
      <c r="C272" s="16"/>
      <c r="D272" s="16"/>
      <c r="E272" s="16"/>
      <c r="F272" s="16"/>
      <c r="G272" s="18"/>
      <c r="H272" s="18" t="s">
        <v>76</v>
      </c>
      <c r="I272" s="24"/>
      <c r="J272" s="24" t="s">
        <v>483</v>
      </c>
      <c r="K272" s="18"/>
      <c r="L272" s="25"/>
    </row>
    <row r="273" customHeight="1" spans="1:12">
      <c r="A273" s="14"/>
      <c r="B273" s="15"/>
      <c r="C273" s="16"/>
      <c r="D273" s="16"/>
      <c r="E273" s="16"/>
      <c r="F273" s="16"/>
      <c r="G273" s="18"/>
      <c r="H273" s="18" t="s">
        <v>77</v>
      </c>
      <c r="I273" s="24"/>
      <c r="J273" s="24" t="s">
        <v>484</v>
      </c>
      <c r="K273" s="18"/>
      <c r="L273" s="25"/>
    </row>
    <row r="274" customHeight="1" spans="1:12">
      <c r="A274" s="14"/>
      <c r="B274" s="15"/>
      <c r="C274" s="16"/>
      <c r="D274" s="16"/>
      <c r="E274" s="16"/>
      <c r="F274" s="16"/>
      <c r="G274" s="18"/>
      <c r="H274" s="18" t="s">
        <v>78</v>
      </c>
      <c r="I274" s="24"/>
      <c r="J274" s="24" t="s">
        <v>485</v>
      </c>
      <c r="K274" s="18"/>
      <c r="L274" s="25"/>
    </row>
    <row r="275" customHeight="1" spans="1:12">
      <c r="A275" s="14"/>
      <c r="B275" s="15"/>
      <c r="C275" s="16"/>
      <c r="D275" s="16"/>
      <c r="E275" s="16"/>
      <c r="F275" s="16"/>
      <c r="G275" s="18"/>
      <c r="H275" s="18" t="s">
        <v>79</v>
      </c>
      <c r="I275" s="24"/>
      <c r="J275" s="24" t="s">
        <v>486</v>
      </c>
      <c r="K275" s="18"/>
      <c r="L275" s="25"/>
    </row>
    <row r="276" customHeight="1" spans="1:12">
      <c r="A276" s="14"/>
      <c r="B276" s="15"/>
      <c r="C276" s="16"/>
      <c r="D276" s="16"/>
      <c r="E276" s="16"/>
      <c r="F276" s="16"/>
      <c r="G276" s="18"/>
      <c r="H276" s="18" t="s">
        <v>80</v>
      </c>
      <c r="I276" s="24"/>
      <c r="J276" s="24" t="s">
        <v>487</v>
      </c>
      <c r="K276" s="18"/>
      <c r="L276" s="25"/>
    </row>
    <row r="277" customHeight="1" spans="1:12">
      <c r="A277" s="14"/>
      <c r="B277" s="15"/>
      <c r="C277" s="16"/>
      <c r="D277" s="16"/>
      <c r="E277" s="16"/>
      <c r="F277" s="16"/>
      <c r="G277" s="18"/>
      <c r="H277" s="18" t="s">
        <v>81</v>
      </c>
      <c r="I277" s="24"/>
      <c r="J277" s="24" t="s">
        <v>488</v>
      </c>
      <c r="K277" s="18"/>
      <c r="L277" s="25"/>
    </row>
    <row r="278" customHeight="1" spans="1:12">
      <c r="A278" s="14"/>
      <c r="B278" s="15"/>
      <c r="C278" s="16"/>
      <c r="D278" s="16"/>
      <c r="E278" s="16"/>
      <c r="F278" s="16"/>
      <c r="G278" s="18"/>
      <c r="H278" s="18" t="s">
        <v>82</v>
      </c>
      <c r="I278" s="24"/>
      <c r="J278" s="24" t="s">
        <v>489</v>
      </c>
      <c r="K278" s="18"/>
      <c r="L278" s="25"/>
    </row>
    <row r="279" customHeight="1" spans="1:12">
      <c r="A279" s="14"/>
      <c r="B279" s="15"/>
      <c r="C279" s="16"/>
      <c r="D279" s="16"/>
      <c r="E279" s="16"/>
      <c r="F279" s="16"/>
      <c r="G279" s="18"/>
      <c r="H279" s="18" t="s">
        <v>83</v>
      </c>
      <c r="I279" s="24"/>
      <c r="J279" s="24"/>
      <c r="K279" s="18"/>
      <c r="L279" s="25"/>
    </row>
    <row r="280" customHeight="1" spans="1:12">
      <c r="A280" s="14"/>
      <c r="B280" s="15"/>
      <c r="C280" s="16"/>
      <c r="D280" s="16"/>
      <c r="E280" s="16"/>
      <c r="F280" s="16"/>
      <c r="G280" s="18"/>
      <c r="H280" s="18" t="s">
        <v>84</v>
      </c>
      <c r="I280" s="24"/>
      <c r="J280" s="24" t="s">
        <v>490</v>
      </c>
      <c r="K280" s="18"/>
      <c r="L280" s="25"/>
    </row>
    <row r="281" customHeight="1" spans="1:12">
      <c r="A281" s="14"/>
      <c r="B281" s="15"/>
      <c r="C281" s="16"/>
      <c r="D281" s="16"/>
      <c r="E281" s="16"/>
      <c r="F281" s="16"/>
      <c r="G281" s="18"/>
      <c r="H281" s="18" t="s">
        <v>85</v>
      </c>
      <c r="I281" s="24"/>
      <c r="J281" s="24" t="s">
        <v>491</v>
      </c>
      <c r="K281" s="18"/>
      <c r="L281" s="25"/>
    </row>
    <row r="282" customHeight="1" spans="1:12">
      <c r="A282" s="14"/>
      <c r="B282" s="15"/>
      <c r="C282" s="16"/>
      <c r="D282" s="16"/>
      <c r="E282" s="16"/>
      <c r="F282" s="16"/>
      <c r="G282" s="18"/>
      <c r="H282" s="18" t="s">
        <v>86</v>
      </c>
      <c r="I282" s="24"/>
      <c r="J282" s="24" t="s">
        <v>492</v>
      </c>
      <c r="K282" s="18"/>
      <c r="L282" s="25"/>
    </row>
    <row r="283" customHeight="1" spans="1:12">
      <c r="A283" s="14"/>
      <c r="B283" s="15"/>
      <c r="C283" s="16"/>
      <c r="D283" s="16"/>
      <c r="E283" s="16"/>
      <c r="F283" s="16"/>
      <c r="G283" s="18"/>
      <c r="H283" s="18" t="s">
        <v>87</v>
      </c>
      <c r="I283" s="24"/>
      <c r="J283" s="24"/>
      <c r="K283" s="18"/>
      <c r="L283" s="25"/>
    </row>
    <row r="284" customHeight="1" spans="1:12">
      <c r="A284" s="14" t="str">
        <f>"0x"&amp;DEC2HEX(B284,8)</f>
        <v>0x000004D0</v>
      </c>
      <c r="B284" s="15">
        <f>SUM_HEX(C252:F283,B252,3)</f>
        <v>1232</v>
      </c>
      <c r="C284" s="16" t="s">
        <v>493</v>
      </c>
      <c r="D284" s="16"/>
      <c r="E284" s="16"/>
      <c r="F284" s="16"/>
      <c r="G284" s="18" t="s">
        <v>33</v>
      </c>
      <c r="H284" s="18" t="s">
        <v>54</v>
      </c>
      <c r="I284" s="24" t="s">
        <v>494</v>
      </c>
      <c r="J284" s="18" t="s">
        <v>495</v>
      </c>
      <c r="K284" s="18"/>
      <c r="L284" s="25"/>
    </row>
    <row r="285" customHeight="1" spans="1:12">
      <c r="A285" s="14"/>
      <c r="B285" s="15"/>
      <c r="C285" s="16"/>
      <c r="D285" s="16"/>
      <c r="E285" s="16"/>
      <c r="F285" s="16"/>
      <c r="G285" s="18"/>
      <c r="H285" s="18" t="s">
        <v>57</v>
      </c>
      <c r="I285" s="24"/>
      <c r="J285" s="18" t="s">
        <v>496</v>
      </c>
      <c r="K285" s="18"/>
      <c r="L285" s="25"/>
    </row>
    <row r="286" customHeight="1" spans="1:12">
      <c r="A286" s="14"/>
      <c r="B286" s="15"/>
      <c r="C286" s="16"/>
      <c r="D286" s="16"/>
      <c r="E286" s="16"/>
      <c r="F286" s="16"/>
      <c r="G286" s="18"/>
      <c r="H286" s="18" t="s">
        <v>58</v>
      </c>
      <c r="I286" s="24"/>
      <c r="J286" s="18" t="s">
        <v>497</v>
      </c>
      <c r="K286" s="18"/>
      <c r="L286" s="25"/>
    </row>
    <row r="287" customHeight="1" spans="1:12">
      <c r="A287" s="14"/>
      <c r="B287" s="15"/>
      <c r="C287" s="16"/>
      <c r="D287" s="16"/>
      <c r="E287" s="16"/>
      <c r="F287" s="16"/>
      <c r="G287" s="18"/>
      <c r="H287" s="18" t="s">
        <v>59</v>
      </c>
      <c r="I287" s="24"/>
      <c r="J287" s="18" t="s">
        <v>498</v>
      </c>
      <c r="K287" s="18"/>
      <c r="L287" s="25"/>
    </row>
    <row r="288" customHeight="1" spans="1:12">
      <c r="A288" s="14"/>
      <c r="B288" s="15"/>
      <c r="C288" s="16"/>
      <c r="D288" s="16"/>
      <c r="E288" s="16"/>
      <c r="F288" s="16"/>
      <c r="G288" s="18"/>
      <c r="H288" s="18" t="s">
        <v>60</v>
      </c>
      <c r="I288" s="24"/>
      <c r="J288" s="18" t="s">
        <v>499</v>
      </c>
      <c r="K288" s="18"/>
      <c r="L288" s="25"/>
    </row>
    <row r="289" customHeight="1" spans="1:12">
      <c r="A289" s="14"/>
      <c r="B289" s="15"/>
      <c r="C289" s="16"/>
      <c r="D289" s="16"/>
      <c r="E289" s="16"/>
      <c r="F289" s="16"/>
      <c r="G289" s="18"/>
      <c r="H289" s="18" t="s">
        <v>61</v>
      </c>
      <c r="I289" s="24"/>
      <c r="J289" s="18" t="s">
        <v>500</v>
      </c>
      <c r="K289" s="18"/>
      <c r="L289" s="25"/>
    </row>
    <row r="290" customHeight="1" spans="1:12">
      <c r="A290" s="14"/>
      <c r="B290" s="15"/>
      <c r="C290" s="16"/>
      <c r="D290" s="16"/>
      <c r="E290" s="16"/>
      <c r="F290" s="16"/>
      <c r="G290" s="18"/>
      <c r="H290" s="18" t="s">
        <v>62</v>
      </c>
      <c r="I290" s="24"/>
      <c r="J290" s="18"/>
      <c r="K290" s="18"/>
      <c r="L290" s="25"/>
    </row>
    <row r="291" customHeight="1" spans="1:12">
      <c r="A291" s="14"/>
      <c r="B291" s="15"/>
      <c r="C291" s="16"/>
      <c r="D291" s="16"/>
      <c r="E291" s="16"/>
      <c r="F291" s="16"/>
      <c r="G291" s="18"/>
      <c r="H291" s="18" t="s">
        <v>63</v>
      </c>
      <c r="I291" s="24"/>
      <c r="J291" s="18" t="s">
        <v>501</v>
      </c>
      <c r="K291" s="18"/>
      <c r="L291" s="25"/>
    </row>
    <row r="292" customHeight="1" spans="1:12">
      <c r="A292" s="14" t="str">
        <f t="shared" ref="A292:A337" si="5">"0x"&amp;DEC2HEX(B292,8)</f>
        <v>0x000004D4</v>
      </c>
      <c r="B292" s="15">
        <f>SUM_HEX(C284:F284,B284,3)</f>
        <v>1236</v>
      </c>
      <c r="C292" s="16" t="s">
        <v>23</v>
      </c>
      <c r="D292" s="16"/>
      <c r="E292" s="16"/>
      <c r="F292" s="16"/>
      <c r="G292" s="18" t="s">
        <v>15</v>
      </c>
      <c r="H292" s="18"/>
      <c r="I292" s="24" t="s">
        <v>502</v>
      </c>
      <c r="J292" s="18"/>
      <c r="K292" s="18" t="s">
        <v>372</v>
      </c>
      <c r="L292" s="25"/>
    </row>
    <row r="293" customHeight="1" spans="1:12">
      <c r="A293" s="14" t="str">
        <f t="shared" si="5"/>
        <v>0x000004D8</v>
      </c>
      <c r="B293" s="15">
        <f>SUM_HEX(C292:F292,B292,3)</f>
        <v>1240</v>
      </c>
      <c r="C293" s="16" t="s">
        <v>23</v>
      </c>
      <c r="D293" s="16"/>
      <c r="E293" s="16"/>
      <c r="F293" s="16"/>
      <c r="G293" s="18" t="s">
        <v>15</v>
      </c>
      <c r="H293" s="18"/>
      <c r="I293" s="24" t="s">
        <v>503</v>
      </c>
      <c r="J293" s="18"/>
      <c r="K293" s="18" t="s">
        <v>372</v>
      </c>
      <c r="L293" s="25"/>
    </row>
    <row r="294" customHeight="1" spans="1:12">
      <c r="A294" s="14" t="str">
        <f t="shared" si="5"/>
        <v>0x000004DC</v>
      </c>
      <c r="B294" s="15">
        <f>SUM_HEX(C293:F293,B293,3)</f>
        <v>1244</v>
      </c>
      <c r="C294" s="16" t="s">
        <v>23</v>
      </c>
      <c r="D294" s="16"/>
      <c r="E294" s="16"/>
      <c r="F294" s="16"/>
      <c r="G294" s="18" t="s">
        <v>15</v>
      </c>
      <c r="H294" s="18"/>
      <c r="I294" s="24" t="s">
        <v>504</v>
      </c>
      <c r="J294" s="18"/>
      <c r="K294" s="18" t="s">
        <v>372</v>
      </c>
      <c r="L294" s="25"/>
    </row>
    <row r="295" customHeight="1" spans="1:12">
      <c r="A295" s="14" t="str">
        <f t="shared" si="5"/>
        <v>0x000004E0</v>
      </c>
      <c r="B295" s="15">
        <f>SUM_HEX(C294:F294,B294,3)</f>
        <v>1248</v>
      </c>
      <c r="C295" s="16" t="s">
        <v>23</v>
      </c>
      <c r="D295" s="16"/>
      <c r="E295" s="16"/>
      <c r="F295" s="16"/>
      <c r="G295" s="46" t="s">
        <v>157</v>
      </c>
      <c r="H295" s="46" t="s">
        <v>212</v>
      </c>
      <c r="I295" s="18" t="s">
        <v>505</v>
      </c>
      <c r="J295" s="18"/>
      <c r="K295" s="18"/>
      <c r="L295" s="25"/>
    </row>
    <row r="296" customHeight="1" spans="1:12">
      <c r="A296" s="14" t="str">
        <f t="shared" si="5"/>
        <v>0x000004E4</v>
      </c>
      <c r="B296" s="15">
        <f>SUM_HEX(C295:F295,B295,3)</f>
        <v>1252</v>
      </c>
      <c r="C296" s="16" t="s">
        <v>506</v>
      </c>
      <c r="D296" s="16"/>
      <c r="E296" s="16"/>
      <c r="F296" s="16"/>
      <c r="G296" s="47"/>
      <c r="H296" s="47"/>
      <c r="I296" s="18"/>
      <c r="J296" s="18"/>
      <c r="K296" s="18"/>
      <c r="L296" s="25"/>
    </row>
    <row r="297" customHeight="1" spans="1:12">
      <c r="A297" s="14" t="str">
        <f t="shared" si="5"/>
        <v>0x000004E8</v>
      </c>
      <c r="B297" s="15">
        <f>SUM_HEX(C296:F296,B296,3)</f>
        <v>1256</v>
      </c>
      <c r="C297" s="16" t="s">
        <v>507</v>
      </c>
      <c r="D297" s="16" t="s">
        <v>23</v>
      </c>
      <c r="E297" s="16"/>
      <c r="F297" s="16"/>
      <c r="G297" s="47"/>
      <c r="H297" s="47"/>
      <c r="I297" s="18"/>
      <c r="J297" s="18"/>
      <c r="K297" s="18"/>
      <c r="L297" s="25"/>
    </row>
    <row r="298" customHeight="1" spans="1:12">
      <c r="A298" s="14" t="str">
        <f t="shared" si="5"/>
        <v>0x000004F0</v>
      </c>
      <c r="B298" s="15">
        <f>SUM_HEX(C297:F297,B297,3)</f>
        <v>1264</v>
      </c>
      <c r="C298" s="16" t="s">
        <v>274</v>
      </c>
      <c r="D298" s="16"/>
      <c r="E298" s="16"/>
      <c r="F298" s="16"/>
      <c r="G298" s="48"/>
      <c r="H298" s="48"/>
      <c r="I298" s="18"/>
      <c r="J298" s="18"/>
      <c r="K298" s="18"/>
      <c r="L298" s="25"/>
    </row>
    <row r="299" customHeight="1" spans="1:12">
      <c r="A299" s="14" t="str">
        <f t="shared" si="5"/>
        <v>0x000004F4</v>
      </c>
      <c r="B299" s="15">
        <f>SUM_HEX(C298:F298,B298,3)</f>
        <v>1268</v>
      </c>
      <c r="C299" s="16" t="s">
        <v>23</v>
      </c>
      <c r="D299" s="16"/>
      <c r="E299" s="16"/>
      <c r="F299" s="16"/>
      <c r="G299" s="46" t="s">
        <v>157</v>
      </c>
      <c r="H299" s="46" t="s">
        <v>508</v>
      </c>
      <c r="I299" s="24" t="s">
        <v>509</v>
      </c>
      <c r="J299" s="18"/>
      <c r="K299" s="18"/>
      <c r="L299" s="25"/>
    </row>
    <row r="300" customHeight="1" spans="1:12">
      <c r="A300" s="14" t="str">
        <f t="shared" si="5"/>
        <v>0x000004F8</v>
      </c>
      <c r="B300" s="15">
        <f>SUM_HEX(C299:F299,B299,3)</f>
        <v>1272</v>
      </c>
      <c r="C300" s="16" t="s">
        <v>510</v>
      </c>
      <c r="D300" s="16"/>
      <c r="E300" s="16"/>
      <c r="F300" s="16"/>
      <c r="G300" s="47"/>
      <c r="H300" s="47"/>
      <c r="I300" s="18"/>
      <c r="J300" s="18"/>
      <c r="K300" s="18"/>
      <c r="L300" s="25"/>
    </row>
    <row r="301" customHeight="1" spans="1:12">
      <c r="A301" s="14" t="str">
        <f t="shared" si="5"/>
        <v>0x000004FC</v>
      </c>
      <c r="B301" s="15">
        <f>SUM_HEX(C300:F300,B300,3)</f>
        <v>1276</v>
      </c>
      <c r="C301" s="16" t="s">
        <v>23</v>
      </c>
      <c r="D301" s="16" t="s">
        <v>23</v>
      </c>
      <c r="E301" s="16"/>
      <c r="F301" s="16"/>
      <c r="G301" s="47"/>
      <c r="H301" s="47"/>
      <c r="I301" s="18"/>
      <c r="J301" s="18"/>
      <c r="K301" s="18"/>
      <c r="L301" s="25"/>
    </row>
    <row r="302" customHeight="1" spans="1:12">
      <c r="A302" s="14" t="str">
        <f t="shared" si="5"/>
        <v>0x00000504</v>
      </c>
      <c r="B302" s="15">
        <f>SUM_HEX(C301:F301,B301,3)</f>
        <v>1284</v>
      </c>
      <c r="C302" s="16" t="s">
        <v>23</v>
      </c>
      <c r="D302" s="16" t="s">
        <v>23</v>
      </c>
      <c r="E302" s="16"/>
      <c r="F302" s="16"/>
      <c r="G302" s="47"/>
      <c r="H302" s="47"/>
      <c r="I302" s="18"/>
      <c r="J302" s="18"/>
      <c r="K302" s="18"/>
      <c r="L302" s="25"/>
    </row>
    <row r="303" customHeight="1" spans="1:12">
      <c r="A303" s="14" t="str">
        <f t="shared" si="5"/>
        <v>0x0000050C</v>
      </c>
      <c r="B303" s="15">
        <f>SUM_HEX(C302:F302,B302,3)</f>
        <v>1292</v>
      </c>
      <c r="C303" s="16" t="s">
        <v>274</v>
      </c>
      <c r="D303" s="16"/>
      <c r="E303" s="16"/>
      <c r="F303" s="16"/>
      <c r="G303" s="48"/>
      <c r="H303" s="48"/>
      <c r="I303" s="18"/>
      <c r="J303" s="18"/>
      <c r="K303" s="18"/>
      <c r="L303" s="25"/>
    </row>
    <row r="304" customHeight="1" spans="1:12">
      <c r="A304" s="14" t="str">
        <f t="shared" si="5"/>
        <v>0x00000510</v>
      </c>
      <c r="B304" s="15">
        <f>SUM_HEX(C303:F303,B303,3)</f>
        <v>1296</v>
      </c>
      <c r="C304" s="16" t="s">
        <v>23</v>
      </c>
      <c r="D304" s="16"/>
      <c r="E304" s="16"/>
      <c r="F304" s="16"/>
      <c r="G304" s="46" t="s">
        <v>157</v>
      </c>
      <c r="H304" s="46" t="s">
        <v>326</v>
      </c>
      <c r="I304" s="24" t="s">
        <v>511</v>
      </c>
      <c r="J304" s="18"/>
      <c r="K304" s="18" t="s">
        <v>512</v>
      </c>
      <c r="L304" s="25" t="s">
        <v>333</v>
      </c>
    </row>
    <row r="305" customHeight="1" spans="1:12">
      <c r="A305" s="14" t="str">
        <f t="shared" si="5"/>
        <v>0x00000514</v>
      </c>
      <c r="B305" s="15">
        <f>SUM_HEX(C304:F304,B304,3)</f>
        <v>1300</v>
      </c>
      <c r="C305" s="16" t="s">
        <v>513</v>
      </c>
      <c r="D305" s="16"/>
      <c r="E305" s="16"/>
      <c r="F305" s="16"/>
      <c r="G305" s="47"/>
      <c r="H305" s="47"/>
      <c r="I305" s="18"/>
      <c r="J305" s="18"/>
      <c r="K305" s="18"/>
      <c r="L305" s="25"/>
    </row>
    <row r="306" customHeight="1" spans="1:12">
      <c r="A306" s="14" t="str">
        <f t="shared" si="5"/>
        <v>0x00000518</v>
      </c>
      <c r="B306" s="15">
        <f>SUM_HEX(C305:F305,B305,3)</f>
        <v>1304</v>
      </c>
      <c r="C306" s="16" t="s">
        <v>23</v>
      </c>
      <c r="D306" s="16" t="s">
        <v>23</v>
      </c>
      <c r="E306" s="16" t="s">
        <v>23</v>
      </c>
      <c r="F306" s="16"/>
      <c r="G306" s="47"/>
      <c r="H306" s="47"/>
      <c r="I306" s="18"/>
      <c r="J306" s="18"/>
      <c r="K306" s="18"/>
      <c r="L306" s="25"/>
    </row>
    <row r="307" customHeight="1" spans="1:12">
      <c r="A307" s="14" t="str">
        <f t="shared" si="5"/>
        <v>0x00000524</v>
      </c>
      <c r="B307" s="15">
        <f>SUM_HEX(C306:F306,B306,3)</f>
        <v>1316</v>
      </c>
      <c r="C307" s="16" t="s">
        <v>23</v>
      </c>
      <c r="D307" s="16" t="s">
        <v>23</v>
      </c>
      <c r="E307" s="16" t="s">
        <v>23</v>
      </c>
      <c r="F307" s="16"/>
      <c r="G307" s="47"/>
      <c r="H307" s="47"/>
      <c r="I307" s="18"/>
      <c r="J307" s="18"/>
      <c r="K307" s="18"/>
      <c r="L307" s="25"/>
    </row>
    <row r="308" customHeight="1" spans="1:12">
      <c r="A308" s="14" t="str">
        <f t="shared" si="5"/>
        <v>0x00000530</v>
      </c>
      <c r="B308" s="15">
        <f>SUM_HEX(C307:F307,B307,3)</f>
        <v>1328</v>
      </c>
      <c r="C308" s="16" t="s">
        <v>274</v>
      </c>
      <c r="D308" s="16"/>
      <c r="E308" s="16"/>
      <c r="F308" s="16"/>
      <c r="G308" s="48"/>
      <c r="H308" s="48"/>
      <c r="I308" s="18"/>
      <c r="J308" s="18"/>
      <c r="K308" s="18"/>
      <c r="L308" s="25"/>
    </row>
    <row r="309" customHeight="1" spans="1:12">
      <c r="A309" s="14" t="str">
        <f t="shared" si="5"/>
        <v>0x00000534</v>
      </c>
      <c r="B309" s="15">
        <f>SUM_HEX(C308:F308,B308,3)</f>
        <v>1332</v>
      </c>
      <c r="C309" s="16" t="s">
        <v>23</v>
      </c>
      <c r="D309" s="16"/>
      <c r="E309" s="16"/>
      <c r="F309" s="16"/>
      <c r="G309" s="46" t="s">
        <v>157</v>
      </c>
      <c r="H309" s="46" t="s">
        <v>508</v>
      </c>
      <c r="I309" s="24" t="s">
        <v>514</v>
      </c>
      <c r="J309" s="18"/>
      <c r="K309" s="18"/>
      <c r="L309" s="25"/>
    </row>
    <row r="310" customHeight="1" spans="1:12">
      <c r="A310" s="14" t="str">
        <f t="shared" si="5"/>
        <v>0x00000538</v>
      </c>
      <c r="B310" s="15">
        <f>SUM_HEX(C309:F309,B309,3)</f>
        <v>1336</v>
      </c>
      <c r="C310" s="16" t="s">
        <v>515</v>
      </c>
      <c r="D310" s="16"/>
      <c r="E310" s="16"/>
      <c r="F310" s="16"/>
      <c r="G310" s="47"/>
      <c r="H310" s="47"/>
      <c r="I310" s="18"/>
      <c r="J310" s="18"/>
      <c r="K310" s="18"/>
      <c r="L310" s="25"/>
    </row>
    <row r="311" customHeight="1" spans="1:12">
      <c r="A311" s="14" t="str">
        <f t="shared" si="5"/>
        <v>0x0000053C</v>
      </c>
      <c r="B311" s="15">
        <f>SUM_HEX(C310:F310,B310,3)</f>
        <v>1340</v>
      </c>
      <c r="C311" s="16" t="s">
        <v>148</v>
      </c>
      <c r="D311" s="16" t="s">
        <v>148</v>
      </c>
      <c r="E311" s="16"/>
      <c r="F311" s="16"/>
      <c r="G311" s="47"/>
      <c r="H311" s="47"/>
      <c r="I311" s="18"/>
      <c r="J311" s="18"/>
      <c r="K311" s="18"/>
      <c r="L311" s="25"/>
    </row>
    <row r="312" customHeight="1" spans="1:12">
      <c r="A312" s="14" t="str">
        <f t="shared" si="5"/>
        <v>0x00000544</v>
      </c>
      <c r="B312" s="15">
        <f>SUM_HEX(C311:F311,B311,3)</f>
        <v>1348</v>
      </c>
      <c r="C312" s="16" t="s">
        <v>148</v>
      </c>
      <c r="D312" s="16" t="s">
        <v>148</v>
      </c>
      <c r="E312" s="16"/>
      <c r="F312" s="16"/>
      <c r="G312" s="47"/>
      <c r="H312" s="47"/>
      <c r="I312" s="18"/>
      <c r="J312" s="18"/>
      <c r="K312" s="18"/>
      <c r="L312" s="25"/>
    </row>
    <row r="313" customHeight="1" spans="1:12">
      <c r="A313" s="14" t="str">
        <f t="shared" si="5"/>
        <v>0x0000054C</v>
      </c>
      <c r="B313" s="15">
        <f>SUM_HEX(C312:F312,B312,3)</f>
        <v>1356</v>
      </c>
      <c r="C313" s="16" t="s">
        <v>274</v>
      </c>
      <c r="D313" s="16"/>
      <c r="E313" s="16"/>
      <c r="F313" s="16"/>
      <c r="G313" s="48"/>
      <c r="H313" s="48"/>
      <c r="I313" s="18"/>
      <c r="J313" s="18"/>
      <c r="K313" s="18"/>
      <c r="L313" s="25"/>
    </row>
    <row r="314" customHeight="1" spans="1:12">
      <c r="A314" s="14" t="str">
        <f t="shared" si="5"/>
        <v>0x00000550</v>
      </c>
      <c r="B314" s="15">
        <f>SUM_HEX(C313:F313,B313,3)</f>
        <v>1360</v>
      </c>
      <c r="C314" s="16" t="s">
        <v>23</v>
      </c>
      <c r="D314" s="16" t="s">
        <v>23</v>
      </c>
      <c r="E314" s="16" t="s">
        <v>23</v>
      </c>
      <c r="F314" s="16"/>
      <c r="G314" s="18" t="s">
        <v>24</v>
      </c>
      <c r="H314" s="18" t="s">
        <v>516</v>
      </c>
      <c r="I314" s="24" t="s">
        <v>517</v>
      </c>
      <c r="J314" s="18"/>
      <c r="K314" s="18" t="s">
        <v>405</v>
      </c>
      <c r="L314" s="25" t="s">
        <v>280</v>
      </c>
    </row>
    <row r="315" customHeight="1" spans="1:12">
      <c r="A315" s="14" t="str">
        <f t="shared" si="5"/>
        <v>0x0000055C</v>
      </c>
      <c r="B315" s="15">
        <f>SUM_HEX(C314:F314,B314,3)</f>
        <v>1372</v>
      </c>
      <c r="C315" s="16" t="s">
        <v>23</v>
      </c>
      <c r="D315" s="16"/>
      <c r="E315" s="16"/>
      <c r="F315" s="16"/>
      <c r="G315" s="18" t="s">
        <v>212</v>
      </c>
      <c r="H315" s="18"/>
      <c r="I315" s="24" t="s">
        <v>518</v>
      </c>
      <c r="J315" s="18"/>
      <c r="K315" s="18"/>
      <c r="L315" s="25"/>
    </row>
    <row r="316" customHeight="1" spans="1:12">
      <c r="A316" s="14" t="str">
        <f t="shared" si="5"/>
        <v>0x00000560</v>
      </c>
      <c r="B316" s="15">
        <f>SUM_HEX(C315:F315,B315,3)</f>
        <v>1376</v>
      </c>
      <c r="C316" s="16" t="s">
        <v>29</v>
      </c>
      <c r="D316" s="16"/>
      <c r="E316" s="16"/>
      <c r="F316" s="16"/>
      <c r="G316" s="18" t="s">
        <v>15</v>
      </c>
      <c r="H316" s="18"/>
      <c r="I316" s="24" t="s">
        <v>519</v>
      </c>
      <c r="J316" s="18"/>
      <c r="K316" s="18" t="s">
        <v>520</v>
      </c>
      <c r="L316" s="25"/>
    </row>
    <row r="317" customHeight="1" spans="1:12">
      <c r="A317" s="14" t="str">
        <f t="shared" si="5"/>
        <v>0x00000564</v>
      </c>
      <c r="B317" s="15">
        <f>SUM_HEX(C316:F316,B316,3)</f>
        <v>1380</v>
      </c>
      <c r="C317" s="16" t="s">
        <v>23</v>
      </c>
      <c r="D317" s="16"/>
      <c r="E317" s="16"/>
      <c r="F317" s="16"/>
      <c r="G317" s="18" t="s">
        <v>15</v>
      </c>
      <c r="H317" s="18"/>
      <c r="I317" s="24" t="s">
        <v>521</v>
      </c>
      <c r="J317" s="18"/>
      <c r="K317" s="18" t="s">
        <v>520</v>
      </c>
      <c r="L317" s="25"/>
    </row>
    <row r="318" customHeight="1" spans="1:12">
      <c r="A318" s="14" t="str">
        <f t="shared" si="5"/>
        <v>0x00000568</v>
      </c>
      <c r="B318" s="15">
        <f>SUM_HEX(C317:F317,B317,3)</f>
        <v>1384</v>
      </c>
      <c r="C318" s="16" t="s">
        <v>23</v>
      </c>
      <c r="D318" s="16"/>
      <c r="E318" s="16"/>
      <c r="F318" s="16"/>
      <c r="G318" s="46" t="s">
        <v>157</v>
      </c>
      <c r="H318" s="46" t="s">
        <v>212</v>
      </c>
      <c r="I318" s="18" t="s">
        <v>522</v>
      </c>
      <c r="J318" s="18"/>
      <c r="K318" s="18"/>
      <c r="L318" s="25"/>
    </row>
    <row r="319" customHeight="1" spans="1:12">
      <c r="A319" s="14" t="str">
        <f t="shared" si="5"/>
        <v>0x0000056C</v>
      </c>
      <c r="B319" s="15">
        <f>SUM_HEX(C318:F318,B318,3)</f>
        <v>1388</v>
      </c>
      <c r="C319" s="16" t="s">
        <v>523</v>
      </c>
      <c r="D319" s="16"/>
      <c r="E319" s="16"/>
      <c r="F319" s="16"/>
      <c r="G319" s="47"/>
      <c r="H319" s="47"/>
      <c r="I319" s="18"/>
      <c r="J319" s="18"/>
      <c r="K319" s="18"/>
      <c r="L319" s="25"/>
    </row>
    <row r="320" customHeight="1" spans="1:12">
      <c r="A320" s="14" t="str">
        <f t="shared" si="5"/>
        <v>0x00000570</v>
      </c>
      <c r="B320" s="15">
        <f>SUM_HEX(C319:F319,B319,3)</f>
        <v>1392</v>
      </c>
      <c r="C320" s="16" t="s">
        <v>23</v>
      </c>
      <c r="D320" s="16" t="s">
        <v>23</v>
      </c>
      <c r="E320" s="16"/>
      <c r="F320" s="16"/>
      <c r="G320" s="47"/>
      <c r="H320" s="47"/>
      <c r="I320" s="18"/>
      <c r="J320" s="18"/>
      <c r="K320" s="18"/>
      <c r="L320" s="25"/>
    </row>
    <row r="321" customHeight="1" spans="1:12">
      <c r="A321" s="14" t="str">
        <f t="shared" si="5"/>
        <v>0x00000578</v>
      </c>
      <c r="B321" s="15">
        <f>SUM_HEX(C320:F320,B320,3)</f>
        <v>1400</v>
      </c>
      <c r="C321" s="16" t="s">
        <v>274</v>
      </c>
      <c r="D321" s="16"/>
      <c r="E321" s="16"/>
      <c r="F321" s="16"/>
      <c r="G321" s="48"/>
      <c r="H321" s="48"/>
      <c r="I321" s="18"/>
      <c r="J321" s="18"/>
      <c r="K321" s="18"/>
      <c r="L321" s="25"/>
    </row>
    <row r="322" customHeight="1" spans="1:12">
      <c r="A322" s="14" t="str">
        <f t="shared" si="5"/>
        <v>0x0000057C</v>
      </c>
      <c r="B322" s="15">
        <f>SUM_HEX(C321:F321,B321,3)</f>
        <v>1404</v>
      </c>
      <c r="C322" s="16" t="s">
        <v>23</v>
      </c>
      <c r="D322" s="16"/>
      <c r="E322" s="16"/>
      <c r="F322" s="16"/>
      <c r="G322" s="46" t="s">
        <v>157</v>
      </c>
      <c r="H322" s="46" t="s">
        <v>212</v>
      </c>
      <c r="I322" s="18" t="s">
        <v>524</v>
      </c>
      <c r="J322" s="18"/>
      <c r="K322" s="18"/>
      <c r="L322" s="25"/>
    </row>
    <row r="323" customHeight="1" spans="1:12">
      <c r="A323" s="14" t="str">
        <f t="shared" si="5"/>
        <v>0x00000580</v>
      </c>
      <c r="B323" s="15">
        <f>SUM_HEX(C322:F322,B322,3)</f>
        <v>1408</v>
      </c>
      <c r="C323" s="16" t="s">
        <v>525</v>
      </c>
      <c r="D323" s="16"/>
      <c r="E323" s="16"/>
      <c r="F323" s="16"/>
      <c r="G323" s="47"/>
      <c r="H323" s="47"/>
      <c r="I323" s="18"/>
      <c r="J323" s="18"/>
      <c r="K323" s="18"/>
      <c r="L323" s="25"/>
    </row>
    <row r="324" customHeight="1" spans="1:12">
      <c r="A324" s="14" t="str">
        <f t="shared" si="5"/>
        <v>0x00000584</v>
      </c>
      <c r="B324" s="15">
        <f>SUM_HEX(C323:F323,B323,3)</f>
        <v>1412</v>
      </c>
      <c r="C324" s="16" t="s">
        <v>148</v>
      </c>
      <c r="D324" s="16" t="s">
        <v>23</v>
      </c>
      <c r="E324" s="16"/>
      <c r="F324" s="16"/>
      <c r="G324" s="47"/>
      <c r="H324" s="47"/>
      <c r="I324" s="18"/>
      <c r="J324" s="18"/>
      <c r="K324" s="18"/>
      <c r="L324" s="25"/>
    </row>
    <row r="325" customHeight="1" spans="1:12">
      <c r="A325" s="14" t="str">
        <f t="shared" si="5"/>
        <v>0x0000058C</v>
      </c>
      <c r="B325" s="15">
        <f>SUM_HEX(C324:F324,B324,3)</f>
        <v>1420</v>
      </c>
      <c r="C325" s="16" t="s">
        <v>274</v>
      </c>
      <c r="D325" s="16"/>
      <c r="E325" s="16"/>
      <c r="F325" s="16"/>
      <c r="G325" s="48"/>
      <c r="H325" s="48"/>
      <c r="I325" s="18"/>
      <c r="J325" s="18"/>
      <c r="K325" s="18"/>
      <c r="L325" s="25"/>
    </row>
    <row r="326" customHeight="1" spans="1:12">
      <c r="A326" s="14" t="str">
        <f t="shared" si="5"/>
        <v>0x00000590</v>
      </c>
      <c r="B326" s="15">
        <f>SUM_HEX(C325:F325,B325,3)</f>
        <v>1424</v>
      </c>
      <c r="C326" s="16" t="s">
        <v>274</v>
      </c>
      <c r="D326" s="16"/>
      <c r="E326" s="16"/>
      <c r="F326" s="16"/>
      <c r="G326" s="18" t="s">
        <v>15</v>
      </c>
      <c r="H326" s="18"/>
      <c r="I326" s="24" t="s">
        <v>526</v>
      </c>
      <c r="J326" s="18"/>
      <c r="K326" s="18" t="s">
        <v>405</v>
      </c>
      <c r="L326" s="25" t="s">
        <v>280</v>
      </c>
    </row>
    <row r="327" customHeight="1" spans="1:12">
      <c r="A327" s="14" t="str">
        <f t="shared" si="5"/>
        <v>0x00000594</v>
      </c>
      <c r="B327" s="15">
        <f>SUM_HEX(C326:F326,B326,3)</f>
        <v>1428</v>
      </c>
      <c r="C327" s="16" t="s">
        <v>23</v>
      </c>
      <c r="D327" s="16"/>
      <c r="E327" s="16"/>
      <c r="F327" s="16"/>
      <c r="G327" s="18" t="s">
        <v>212</v>
      </c>
      <c r="H327" s="18"/>
      <c r="I327" s="24" t="s">
        <v>527</v>
      </c>
      <c r="J327" s="18"/>
      <c r="K327" s="18"/>
      <c r="L327" s="25" t="s">
        <v>272</v>
      </c>
    </row>
    <row r="328" customHeight="1" spans="1:12">
      <c r="A328" s="14" t="str">
        <f t="shared" si="5"/>
        <v>0x00000598</v>
      </c>
      <c r="B328" s="15">
        <f>SUM_HEX(C327:F327,B327,3)</f>
        <v>1432</v>
      </c>
      <c r="C328" s="16" t="s">
        <v>23</v>
      </c>
      <c r="D328" s="16"/>
      <c r="E328" s="16"/>
      <c r="F328" s="16"/>
      <c r="G328" s="46" t="s">
        <v>157</v>
      </c>
      <c r="H328" s="46" t="s">
        <v>212</v>
      </c>
      <c r="I328" s="18" t="s">
        <v>528</v>
      </c>
      <c r="J328" s="18"/>
      <c r="K328" s="18"/>
      <c r="L328" s="25"/>
    </row>
    <row r="329" customHeight="1" spans="1:12">
      <c r="A329" s="14" t="str">
        <f t="shared" si="5"/>
        <v>0x0000059C</v>
      </c>
      <c r="B329" s="15">
        <f>SUM_HEX(C328:F328,B328,3)</f>
        <v>1436</v>
      </c>
      <c r="C329" s="16" t="s">
        <v>529</v>
      </c>
      <c r="D329" s="16"/>
      <c r="E329" s="16"/>
      <c r="F329" s="16"/>
      <c r="G329" s="47"/>
      <c r="H329" s="47"/>
      <c r="I329" s="18"/>
      <c r="J329" s="18"/>
      <c r="K329" s="18"/>
      <c r="L329" s="25"/>
    </row>
    <row r="330" customHeight="1" spans="1:12">
      <c r="A330" s="14" t="str">
        <f t="shared" si="5"/>
        <v>0x000005A0</v>
      </c>
      <c r="B330" s="15">
        <f>SUM_HEX(C329:F329,B329,3)</f>
        <v>1440</v>
      </c>
      <c r="C330" s="16" t="s">
        <v>23</v>
      </c>
      <c r="D330" s="16" t="s">
        <v>23</v>
      </c>
      <c r="E330" s="16"/>
      <c r="F330" s="16"/>
      <c r="G330" s="47"/>
      <c r="H330" s="47"/>
      <c r="I330" s="18"/>
      <c r="J330" s="18"/>
      <c r="K330" s="18"/>
      <c r="L330" s="25"/>
    </row>
    <row r="331" customHeight="1" spans="1:12">
      <c r="A331" s="14" t="str">
        <f t="shared" si="5"/>
        <v>0x000005A8</v>
      </c>
      <c r="B331" s="15">
        <f>SUM_HEX(C330:F330,B330,3)</f>
        <v>1448</v>
      </c>
      <c r="C331" s="16" t="s">
        <v>274</v>
      </c>
      <c r="D331" s="16"/>
      <c r="E331" s="16"/>
      <c r="F331" s="16"/>
      <c r="G331" s="48"/>
      <c r="H331" s="48"/>
      <c r="I331" s="18"/>
      <c r="J331" s="18"/>
      <c r="K331" s="18"/>
      <c r="L331" s="25"/>
    </row>
    <row r="332" customHeight="1" spans="1:12">
      <c r="A332" s="14" t="str">
        <f t="shared" si="5"/>
        <v>0x000005AC</v>
      </c>
      <c r="B332" s="15">
        <f>SUM_HEX(C331:F331,B331,3)</f>
        <v>1452</v>
      </c>
      <c r="C332" s="16" t="s">
        <v>274</v>
      </c>
      <c r="D332" s="16"/>
      <c r="E332" s="16"/>
      <c r="F332" s="16"/>
      <c r="G332" s="18" t="s">
        <v>15</v>
      </c>
      <c r="H332" s="18"/>
      <c r="I332" s="24" t="s">
        <v>530</v>
      </c>
      <c r="J332" s="18"/>
      <c r="K332" s="18" t="s">
        <v>405</v>
      </c>
      <c r="L332" s="25" t="s">
        <v>280</v>
      </c>
    </row>
    <row r="333" customHeight="1" spans="1:12">
      <c r="A333" s="14" t="str">
        <f t="shared" si="5"/>
        <v>0x000005B0</v>
      </c>
      <c r="B333" s="15">
        <f>SUM_HEX(C332:F332,B332,3)</f>
        <v>1456</v>
      </c>
      <c r="C333" s="16" t="s">
        <v>23</v>
      </c>
      <c r="D333" s="16"/>
      <c r="E333" s="16"/>
      <c r="F333" s="16"/>
      <c r="G333" s="18" t="s">
        <v>212</v>
      </c>
      <c r="H333" s="18"/>
      <c r="I333" s="24" t="s">
        <v>531</v>
      </c>
      <c r="J333" s="18"/>
      <c r="K333" s="18"/>
      <c r="L333" s="25" t="s">
        <v>272</v>
      </c>
    </row>
    <row r="334" customHeight="1" spans="1:12">
      <c r="A334" s="14" t="str">
        <f t="shared" si="5"/>
        <v>0x000005B4</v>
      </c>
      <c r="B334" s="15">
        <f>SUM_HEX(C333:F333,B333,3)</f>
        <v>1460</v>
      </c>
      <c r="C334" s="16" t="s">
        <v>23</v>
      </c>
      <c r="D334" s="16" t="s">
        <v>23</v>
      </c>
      <c r="E334" s="16" t="s">
        <v>23</v>
      </c>
      <c r="F334" s="16"/>
      <c r="G334" s="18" t="s">
        <v>24</v>
      </c>
      <c r="H334" s="18" t="s">
        <v>532</v>
      </c>
      <c r="I334" s="24" t="s">
        <v>533</v>
      </c>
      <c r="J334" s="18"/>
      <c r="K334" s="18"/>
      <c r="L334" s="25"/>
    </row>
    <row r="335" customHeight="1" spans="1:12">
      <c r="A335" s="14" t="str">
        <f t="shared" si="5"/>
        <v>0x000005C0</v>
      </c>
      <c r="B335" s="15">
        <f>SUM_HEX(C334:F334,B334,3)</f>
        <v>1472</v>
      </c>
      <c r="C335" s="16" t="s">
        <v>23</v>
      </c>
      <c r="D335" s="16" t="s">
        <v>23</v>
      </c>
      <c r="E335" s="16" t="s">
        <v>23</v>
      </c>
      <c r="F335" s="16"/>
      <c r="G335" s="18" t="s">
        <v>24</v>
      </c>
      <c r="H335" s="18" t="s">
        <v>369</v>
      </c>
      <c r="I335" s="24" t="s">
        <v>534</v>
      </c>
      <c r="J335" s="18"/>
      <c r="K335" s="18"/>
      <c r="L335" s="25"/>
    </row>
    <row r="336" customHeight="1" spans="1:12">
      <c r="A336" s="14" t="str">
        <f t="shared" si="5"/>
        <v>0x000005CC</v>
      </c>
      <c r="B336" s="15">
        <f>SUM_HEX(C335:F335,B335,3)</f>
        <v>1484</v>
      </c>
      <c r="C336" s="16" t="s">
        <v>23</v>
      </c>
      <c r="D336" s="16"/>
      <c r="E336" s="16"/>
      <c r="F336" s="16"/>
      <c r="G336" s="18"/>
      <c r="H336" s="18"/>
      <c r="I336" s="24"/>
      <c r="J336" s="18"/>
      <c r="K336" s="18"/>
      <c r="L336" s="25"/>
    </row>
    <row r="337" customHeight="1" spans="1:12">
      <c r="A337" s="14" t="str">
        <f t="shared" si="5"/>
        <v>0x000005D0</v>
      </c>
      <c r="B337" s="15">
        <f>SUM_HEX(C336:F336,B336,3)</f>
        <v>1488</v>
      </c>
      <c r="C337" s="16" t="s">
        <v>274</v>
      </c>
      <c r="D337" s="16"/>
      <c r="E337" s="16"/>
      <c r="F337" s="16"/>
      <c r="G337" s="18"/>
      <c r="H337" s="18"/>
      <c r="I337" s="24"/>
      <c r="J337" s="18"/>
      <c r="K337" s="18"/>
      <c r="L337" s="25"/>
    </row>
    <row r="338" customHeight="1" spans="2:2">
      <c r="B338" s="3"/>
    </row>
    <row r="339" customHeight="1" spans="1:3">
      <c r="A339" s="7" t="s">
        <v>136</v>
      </c>
      <c r="B339" s="8" t="s">
        <v>27</v>
      </c>
      <c r="C339" s="9" t="s">
        <v>535</v>
      </c>
    </row>
    <row r="340" customHeight="1" spans="1:12">
      <c r="A340" s="10" t="s">
        <v>2</v>
      </c>
      <c r="B340" s="11"/>
      <c r="C340" s="12" t="s">
        <v>3</v>
      </c>
      <c r="D340" s="12"/>
      <c r="E340" s="12"/>
      <c r="F340" s="12"/>
      <c r="G340" s="13" t="s">
        <v>4</v>
      </c>
      <c r="H340" s="13"/>
      <c r="I340" s="20" t="s">
        <v>5</v>
      </c>
      <c r="J340" s="13" t="s">
        <v>6</v>
      </c>
      <c r="K340" s="13" t="s">
        <v>7</v>
      </c>
      <c r="L340" s="21" t="s">
        <v>8</v>
      </c>
    </row>
    <row r="341" customHeight="1" spans="1:12">
      <c r="A341" s="14" t="str">
        <f t="shared" ref="A341:A343" si="6">"0x"&amp;DEC2HEX(B341,8)</f>
        <v>0x00000000</v>
      </c>
      <c r="B341" s="15">
        <f>0</f>
        <v>0</v>
      </c>
      <c r="C341" s="16" t="s">
        <v>29</v>
      </c>
      <c r="D341" s="16"/>
      <c r="E341" s="16"/>
      <c r="F341" s="16"/>
      <c r="G341" s="18" t="s">
        <v>15</v>
      </c>
      <c r="H341" s="18"/>
      <c r="I341" s="24" t="s">
        <v>279</v>
      </c>
      <c r="J341" s="18"/>
      <c r="K341" s="18" t="s">
        <v>21</v>
      </c>
      <c r="L341" s="25" t="s">
        <v>280</v>
      </c>
    </row>
    <row r="342" customHeight="1" spans="1:12">
      <c r="A342" s="14" t="str">
        <f t="shared" si="6"/>
        <v>0x00000004</v>
      </c>
      <c r="B342" s="15">
        <f>SUM_HEX(C341:F341,B341,3)</f>
        <v>4</v>
      </c>
      <c r="C342" s="16" t="s">
        <v>22</v>
      </c>
      <c r="D342" s="16"/>
      <c r="E342" s="16"/>
      <c r="F342" s="16"/>
      <c r="G342" s="18" t="s">
        <v>15</v>
      </c>
      <c r="H342" s="18"/>
      <c r="I342" s="24" t="s">
        <v>281</v>
      </c>
      <c r="J342" s="18"/>
      <c r="K342" s="18" t="s">
        <v>21</v>
      </c>
      <c r="L342" s="25" t="s">
        <v>280</v>
      </c>
    </row>
    <row r="343" customHeight="1" spans="1:12">
      <c r="A343" s="14" t="str">
        <f t="shared" si="6"/>
        <v>0x00000008</v>
      </c>
      <c r="B343" s="15">
        <f>SUM_HEX(C342:F342,B342,3)</f>
        <v>8</v>
      </c>
      <c r="C343" s="51" t="s">
        <v>282</v>
      </c>
      <c r="D343" s="51"/>
      <c r="E343" s="51"/>
      <c r="F343" s="51"/>
      <c r="G343" s="52" t="s">
        <v>33</v>
      </c>
      <c r="H343" s="52" t="s">
        <v>54</v>
      </c>
      <c r="I343" s="57" t="s">
        <v>283</v>
      </c>
      <c r="J343" s="57" t="s">
        <v>284</v>
      </c>
      <c r="K343" s="52"/>
      <c r="L343" s="51"/>
    </row>
    <row r="344" customHeight="1" spans="1:12">
      <c r="A344" s="14"/>
      <c r="B344" s="15"/>
      <c r="C344" s="51"/>
      <c r="D344" s="51"/>
      <c r="E344" s="51"/>
      <c r="F344" s="51"/>
      <c r="G344" s="52"/>
      <c r="H344" s="52" t="s">
        <v>57</v>
      </c>
      <c r="I344" s="57"/>
      <c r="J344" s="57" t="s">
        <v>285</v>
      </c>
      <c r="K344" s="52"/>
      <c r="L344" s="51"/>
    </row>
    <row r="345" customHeight="1" spans="1:12">
      <c r="A345" s="14"/>
      <c r="B345" s="15"/>
      <c r="C345" s="51"/>
      <c r="D345" s="51"/>
      <c r="E345" s="51"/>
      <c r="F345" s="51"/>
      <c r="G345" s="52"/>
      <c r="H345" s="52" t="s">
        <v>58</v>
      </c>
      <c r="I345" s="57"/>
      <c r="J345" s="57" t="s">
        <v>286</v>
      </c>
      <c r="K345" s="52"/>
      <c r="L345" s="51"/>
    </row>
    <row r="346" customHeight="1" spans="1:12">
      <c r="A346" s="14"/>
      <c r="B346" s="15"/>
      <c r="C346" s="51"/>
      <c r="D346" s="51"/>
      <c r="E346" s="51"/>
      <c r="F346" s="51"/>
      <c r="G346" s="52"/>
      <c r="H346" s="52" t="s">
        <v>59</v>
      </c>
      <c r="I346" s="57"/>
      <c r="J346" s="57" t="s">
        <v>287</v>
      </c>
      <c r="K346" s="52"/>
      <c r="L346" s="51"/>
    </row>
    <row r="347" customHeight="1" spans="1:12">
      <c r="A347" s="14" t="str">
        <f>"0x"&amp;DEC2HEX(B347,8)</f>
        <v>0x00000008</v>
      </c>
      <c r="B347" s="15">
        <f>SUM_HEX(C343:F346,B343,3)</f>
        <v>8</v>
      </c>
      <c r="C347" s="26" t="s">
        <v>23</v>
      </c>
      <c r="D347" s="16"/>
      <c r="E347" s="16"/>
      <c r="F347" s="16"/>
      <c r="G347" s="46" t="s">
        <v>157</v>
      </c>
      <c r="H347" s="46" t="s">
        <v>212</v>
      </c>
      <c r="I347" s="24" t="s">
        <v>288</v>
      </c>
      <c r="J347" s="18"/>
      <c r="K347" s="18" t="s">
        <v>289</v>
      </c>
      <c r="L347" s="25" t="s">
        <v>272</v>
      </c>
    </row>
    <row r="348" customHeight="1" spans="1:12">
      <c r="A348" s="14" t="str">
        <f>"0x"&amp;DEC2HEX(B348,8)</f>
        <v>0x0000000C</v>
      </c>
      <c r="B348" s="15">
        <f>SUM_HEX(C347:F347,B347,3)</f>
        <v>12</v>
      </c>
      <c r="C348" s="16" t="s">
        <v>290</v>
      </c>
      <c r="D348" s="16"/>
      <c r="E348" s="16"/>
      <c r="F348" s="16"/>
      <c r="G348" s="47"/>
      <c r="H348" s="47"/>
      <c r="I348" s="24"/>
      <c r="J348" s="18"/>
      <c r="K348" s="18"/>
      <c r="L348" s="25"/>
    </row>
    <row r="349" customHeight="1" spans="1:12">
      <c r="A349" s="14" t="str">
        <f>"0x"&amp;DEC2HEX(B349,8)</f>
        <v>0x00000010</v>
      </c>
      <c r="B349" s="15">
        <f>SUM_HEX(C348:F348,B348,3)</f>
        <v>16</v>
      </c>
      <c r="C349" s="16" t="s">
        <v>148</v>
      </c>
      <c r="D349" s="16" t="s">
        <v>23</v>
      </c>
      <c r="E349" s="16"/>
      <c r="F349" s="16"/>
      <c r="G349" s="47"/>
      <c r="H349" s="47"/>
      <c r="I349" s="24"/>
      <c r="J349" s="18"/>
      <c r="K349" s="18"/>
      <c r="L349" s="25"/>
    </row>
    <row r="350" customHeight="1" spans="1:12">
      <c r="A350" s="14" t="str">
        <f t="shared" ref="A350:A355" si="7">"0x"&amp;DEC2HEX(B350,8)</f>
        <v>0x00000018</v>
      </c>
      <c r="B350" s="15">
        <f>SUM_HEX(C349:F349,B349,3)</f>
        <v>24</v>
      </c>
      <c r="C350" s="16" t="s">
        <v>274</v>
      </c>
      <c r="D350" s="16"/>
      <c r="E350" s="16"/>
      <c r="F350" s="16"/>
      <c r="G350" s="48"/>
      <c r="H350" s="48"/>
      <c r="I350" s="24"/>
      <c r="J350" s="18"/>
      <c r="K350" s="18"/>
      <c r="L350" s="25"/>
    </row>
    <row r="351" customHeight="1" spans="1:12">
      <c r="A351" s="14" t="str">
        <f t="shared" si="7"/>
        <v>0x0000001C</v>
      </c>
      <c r="B351" s="15">
        <f>SUM_HEX(C350:F350,B350,3)</f>
        <v>28</v>
      </c>
      <c r="C351" s="16" t="s">
        <v>23</v>
      </c>
      <c r="D351" s="16"/>
      <c r="E351" s="16"/>
      <c r="F351" s="16"/>
      <c r="G351" s="46" t="s">
        <v>157</v>
      </c>
      <c r="H351" s="46" t="s">
        <v>212</v>
      </c>
      <c r="I351" s="24" t="s">
        <v>291</v>
      </c>
      <c r="J351" s="18"/>
      <c r="K351" s="18" t="s">
        <v>289</v>
      </c>
      <c r="L351" s="25" t="s">
        <v>272</v>
      </c>
    </row>
    <row r="352" customHeight="1" spans="1:12">
      <c r="A352" s="14" t="str">
        <f t="shared" si="7"/>
        <v>0x00000020</v>
      </c>
      <c r="B352" s="15">
        <f>SUM_HEX(C351:F351,B351,3)</f>
        <v>32</v>
      </c>
      <c r="C352" s="16" t="s">
        <v>292</v>
      </c>
      <c r="D352" s="16"/>
      <c r="E352" s="16"/>
      <c r="F352" s="16"/>
      <c r="G352" s="47"/>
      <c r="H352" s="47"/>
      <c r="I352" s="24"/>
      <c r="J352" s="18"/>
      <c r="K352" s="18"/>
      <c r="L352" s="25"/>
    </row>
    <row r="353" customHeight="1" spans="1:12">
      <c r="A353" s="14" t="str">
        <f t="shared" si="7"/>
        <v>0x00000024</v>
      </c>
      <c r="B353" s="15">
        <f>SUM_HEX(C352:F352,B352,3)</f>
        <v>36</v>
      </c>
      <c r="C353" s="16" t="s">
        <v>148</v>
      </c>
      <c r="D353" s="16" t="s">
        <v>23</v>
      </c>
      <c r="E353" s="16"/>
      <c r="F353" s="16"/>
      <c r="G353" s="47"/>
      <c r="H353" s="47"/>
      <c r="I353" s="24"/>
      <c r="J353" s="18"/>
      <c r="K353" s="18"/>
      <c r="L353" s="25"/>
    </row>
    <row r="354" customHeight="1" spans="1:12">
      <c r="A354" s="14" t="str">
        <f t="shared" si="7"/>
        <v>0x0000002C</v>
      </c>
      <c r="B354" s="15">
        <f>SUM_HEX(C353:F353,B353,3)</f>
        <v>44</v>
      </c>
      <c r="C354" s="16" t="s">
        <v>274</v>
      </c>
      <c r="D354" s="16"/>
      <c r="E354" s="16"/>
      <c r="F354" s="16"/>
      <c r="G354" s="48"/>
      <c r="H354" s="48"/>
      <c r="I354" s="24"/>
      <c r="J354" s="18"/>
      <c r="K354" s="18"/>
      <c r="L354" s="25"/>
    </row>
    <row r="355" customHeight="1" spans="1:12">
      <c r="A355" s="14" t="str">
        <f t="shared" si="7"/>
        <v>0x00000030</v>
      </c>
      <c r="B355" s="15">
        <f>SUM_HEX(C354:F354,B354,3)</f>
        <v>48</v>
      </c>
      <c r="C355" s="53" t="s">
        <v>282</v>
      </c>
      <c r="D355" s="53"/>
      <c r="E355" s="53"/>
      <c r="F355" s="53"/>
      <c r="G355" s="54" t="s">
        <v>33</v>
      </c>
      <c r="H355" s="54" t="s">
        <v>54</v>
      </c>
      <c r="I355" s="58" t="s">
        <v>283</v>
      </c>
      <c r="J355" s="58" t="s">
        <v>284</v>
      </c>
      <c r="K355" s="54"/>
      <c r="L355" s="53"/>
    </row>
    <row r="356" customHeight="1" spans="1:12">
      <c r="A356" s="14"/>
      <c r="B356" s="15"/>
      <c r="C356" s="53"/>
      <c r="D356" s="53"/>
      <c r="E356" s="53"/>
      <c r="F356" s="53"/>
      <c r="G356" s="54"/>
      <c r="H356" s="54" t="s">
        <v>57</v>
      </c>
      <c r="I356" s="58"/>
      <c r="J356" s="58"/>
      <c r="K356" s="54"/>
      <c r="L356" s="53"/>
    </row>
    <row r="357" customHeight="1" spans="1:12">
      <c r="A357" s="14"/>
      <c r="B357" s="15"/>
      <c r="C357" s="53"/>
      <c r="D357" s="53"/>
      <c r="E357" s="53"/>
      <c r="F357" s="53"/>
      <c r="G357" s="54"/>
      <c r="H357" s="54" t="s">
        <v>58</v>
      </c>
      <c r="I357" s="58"/>
      <c r="J357" s="58"/>
      <c r="K357" s="54"/>
      <c r="L357" s="53"/>
    </row>
    <row r="358" customHeight="1" spans="1:12">
      <c r="A358" s="14"/>
      <c r="B358" s="15"/>
      <c r="C358" s="53"/>
      <c r="D358" s="53"/>
      <c r="E358" s="53"/>
      <c r="F358" s="53"/>
      <c r="G358" s="54"/>
      <c r="H358" s="54" t="s">
        <v>59</v>
      </c>
      <c r="I358" s="58"/>
      <c r="J358" s="58"/>
      <c r="K358" s="54"/>
      <c r="L358" s="53"/>
    </row>
    <row r="359" customHeight="1" spans="1:12">
      <c r="A359" s="14" t="str">
        <f t="shared" ref="A359:A383" si="8">"0x"&amp;DEC2HEX(B359,8)</f>
        <v>0x00000034</v>
      </c>
      <c r="B359" s="15">
        <f>SUM_HEX(C355:F358,B355,3)</f>
        <v>52</v>
      </c>
      <c r="C359" s="16" t="s">
        <v>23</v>
      </c>
      <c r="D359" s="16"/>
      <c r="E359" s="16"/>
      <c r="F359" s="16"/>
      <c r="G359" s="46" t="s">
        <v>157</v>
      </c>
      <c r="H359" s="46" t="s">
        <v>212</v>
      </c>
      <c r="I359" s="24" t="s">
        <v>293</v>
      </c>
      <c r="J359" s="18"/>
      <c r="K359" s="18" t="s">
        <v>294</v>
      </c>
      <c r="L359" s="25"/>
    </row>
    <row r="360" customHeight="1" spans="1:12">
      <c r="A360" s="14" t="str">
        <f t="shared" si="8"/>
        <v>0x00000038</v>
      </c>
      <c r="B360" s="15">
        <f>SUM_HEX(C359:F359,B359,3)</f>
        <v>56</v>
      </c>
      <c r="C360" s="16" t="s">
        <v>295</v>
      </c>
      <c r="D360" s="16"/>
      <c r="E360" s="16"/>
      <c r="F360" s="16"/>
      <c r="G360" s="47"/>
      <c r="H360" s="47"/>
      <c r="I360" s="24"/>
      <c r="J360" s="18"/>
      <c r="K360" s="18"/>
      <c r="L360" s="25"/>
    </row>
    <row r="361" customHeight="1" spans="1:12">
      <c r="A361" s="14" t="str">
        <f t="shared" si="8"/>
        <v>0x0000003C</v>
      </c>
      <c r="B361" s="15">
        <f>SUM_HEX(C360:F360,B360,3)</f>
        <v>60</v>
      </c>
      <c r="C361" s="16" t="s">
        <v>23</v>
      </c>
      <c r="D361" s="16" t="s">
        <v>23</v>
      </c>
      <c r="E361" s="16"/>
      <c r="F361" s="16"/>
      <c r="G361" s="47"/>
      <c r="H361" s="47"/>
      <c r="I361" s="24"/>
      <c r="J361" s="18"/>
      <c r="K361" s="18"/>
      <c r="L361" s="25"/>
    </row>
    <row r="362" customHeight="1" spans="1:12">
      <c r="A362" s="14" t="str">
        <f t="shared" si="8"/>
        <v>0x00000044</v>
      </c>
      <c r="B362" s="15">
        <f>SUM_HEX(C361:F361,B361,3)</f>
        <v>68</v>
      </c>
      <c r="C362" s="16" t="s">
        <v>274</v>
      </c>
      <c r="D362" s="16"/>
      <c r="E362" s="16"/>
      <c r="F362" s="16"/>
      <c r="G362" s="48"/>
      <c r="H362" s="48"/>
      <c r="I362" s="24"/>
      <c r="J362" s="18"/>
      <c r="K362" s="18"/>
      <c r="L362" s="25"/>
    </row>
    <row r="363" customHeight="1" spans="1:12">
      <c r="A363" s="14" t="str">
        <f t="shared" si="8"/>
        <v>0x00000048</v>
      </c>
      <c r="B363" s="15">
        <f>SUM_HEX(C362:F362,B362,3)</f>
        <v>72</v>
      </c>
      <c r="C363" s="16" t="s">
        <v>23</v>
      </c>
      <c r="D363" s="16"/>
      <c r="E363" s="16"/>
      <c r="F363" s="16"/>
      <c r="G363" s="46" t="s">
        <v>157</v>
      </c>
      <c r="H363" s="46" t="s">
        <v>212</v>
      </c>
      <c r="I363" s="24" t="s">
        <v>296</v>
      </c>
      <c r="J363" s="18"/>
      <c r="K363" s="18" t="s">
        <v>294</v>
      </c>
      <c r="L363" s="25"/>
    </row>
    <row r="364" customHeight="1" spans="1:12">
      <c r="A364" s="14" t="str">
        <f t="shared" si="8"/>
        <v>0x0000004C</v>
      </c>
      <c r="B364" s="15">
        <f>SUM_HEX(C363:F363,B363,3)</f>
        <v>76</v>
      </c>
      <c r="C364" s="16" t="s">
        <v>297</v>
      </c>
      <c r="D364" s="16"/>
      <c r="E364" s="16"/>
      <c r="F364" s="16"/>
      <c r="G364" s="47"/>
      <c r="H364" s="47"/>
      <c r="I364" s="24"/>
      <c r="J364" s="18"/>
      <c r="K364" s="18"/>
      <c r="L364" s="25"/>
    </row>
    <row r="365" customHeight="1" spans="1:12">
      <c r="A365" s="14" t="str">
        <f t="shared" si="8"/>
        <v>0x00000050</v>
      </c>
      <c r="B365" s="15">
        <f>SUM_HEX(C364:F364,B364,3)</f>
        <v>80</v>
      </c>
      <c r="C365" s="16" t="s">
        <v>23</v>
      </c>
      <c r="D365" s="16" t="s">
        <v>23</v>
      </c>
      <c r="E365" s="16"/>
      <c r="F365" s="16"/>
      <c r="G365" s="47"/>
      <c r="H365" s="47"/>
      <c r="I365" s="24"/>
      <c r="J365" s="18"/>
      <c r="K365" s="18"/>
      <c r="L365" s="25"/>
    </row>
    <row r="366" customHeight="1" spans="1:12">
      <c r="A366" s="14" t="str">
        <f t="shared" si="8"/>
        <v>0x00000058</v>
      </c>
      <c r="B366" s="15">
        <f>SUM_HEX(C365:F365,B365,3)</f>
        <v>88</v>
      </c>
      <c r="C366" s="16" t="s">
        <v>274</v>
      </c>
      <c r="D366" s="16"/>
      <c r="E366" s="16"/>
      <c r="F366" s="16"/>
      <c r="G366" s="48"/>
      <c r="H366" s="48"/>
      <c r="I366" s="24"/>
      <c r="J366" s="18"/>
      <c r="K366" s="18"/>
      <c r="L366" s="25"/>
    </row>
    <row r="367" customHeight="1" spans="1:12">
      <c r="A367" s="14" t="str">
        <f t="shared" si="8"/>
        <v>0x0000005C</v>
      </c>
      <c r="B367" s="15">
        <f>SUM_HEX(C366:F366,B366,3)</f>
        <v>92</v>
      </c>
      <c r="C367" s="16" t="s">
        <v>23</v>
      </c>
      <c r="D367" s="16"/>
      <c r="E367" s="16"/>
      <c r="F367" s="16"/>
      <c r="G367" s="46" t="s">
        <v>157</v>
      </c>
      <c r="H367" s="46" t="s">
        <v>212</v>
      </c>
      <c r="I367" s="24" t="s">
        <v>298</v>
      </c>
      <c r="J367" s="18"/>
      <c r="K367" s="18" t="s">
        <v>299</v>
      </c>
      <c r="L367" s="25" t="s">
        <v>300</v>
      </c>
    </row>
    <row r="368" customHeight="1" spans="1:12">
      <c r="A368" s="14" t="str">
        <f t="shared" si="8"/>
        <v>0x00000060</v>
      </c>
      <c r="B368" s="15">
        <f>SUM_HEX(C367:F367,B367,3)</f>
        <v>96</v>
      </c>
      <c r="C368" s="16" t="s">
        <v>301</v>
      </c>
      <c r="D368" s="16"/>
      <c r="E368" s="16"/>
      <c r="F368" s="16"/>
      <c r="G368" s="47"/>
      <c r="H368" s="47"/>
      <c r="I368" s="24"/>
      <c r="J368" s="18"/>
      <c r="K368" s="18"/>
      <c r="L368" s="25"/>
    </row>
    <row r="369" customHeight="1" spans="1:12">
      <c r="A369" s="14" t="str">
        <f t="shared" si="8"/>
        <v>0x00000064</v>
      </c>
      <c r="B369" s="15">
        <f>SUM_HEX(C368:F368,B368,3)</f>
        <v>100</v>
      </c>
      <c r="C369" s="16" t="s">
        <v>23</v>
      </c>
      <c r="D369" s="16" t="s">
        <v>23</v>
      </c>
      <c r="E369" s="16"/>
      <c r="F369" s="16"/>
      <c r="G369" s="47"/>
      <c r="H369" s="47"/>
      <c r="I369" s="24"/>
      <c r="J369" s="18"/>
      <c r="K369" s="18"/>
      <c r="L369" s="25"/>
    </row>
    <row r="370" customHeight="1" spans="1:12">
      <c r="A370" s="14" t="str">
        <f t="shared" si="8"/>
        <v>0x0000006C</v>
      </c>
      <c r="B370" s="15">
        <f>SUM_HEX(C369:F369,B369,3)</f>
        <v>108</v>
      </c>
      <c r="C370" s="16" t="s">
        <v>274</v>
      </c>
      <c r="D370" s="16"/>
      <c r="E370" s="16"/>
      <c r="F370" s="16"/>
      <c r="G370" s="48"/>
      <c r="H370" s="48"/>
      <c r="I370" s="24"/>
      <c r="J370" s="18"/>
      <c r="K370" s="18"/>
      <c r="L370" s="25"/>
    </row>
    <row r="371" customHeight="1" spans="1:12">
      <c r="A371" s="14" t="str">
        <f t="shared" si="8"/>
        <v>0x00000070</v>
      </c>
      <c r="B371" s="15">
        <f>SUM_HEX(C370:F370,B370,3)</f>
        <v>112</v>
      </c>
      <c r="C371" s="16" t="s">
        <v>23</v>
      </c>
      <c r="D371" s="16"/>
      <c r="E371" s="16"/>
      <c r="F371" s="16"/>
      <c r="G371" s="46" t="s">
        <v>157</v>
      </c>
      <c r="H371" s="46" t="s">
        <v>212</v>
      </c>
      <c r="I371" s="24" t="s">
        <v>302</v>
      </c>
      <c r="J371" s="18"/>
      <c r="K371" s="18" t="s">
        <v>299</v>
      </c>
      <c r="L371" s="25" t="s">
        <v>300</v>
      </c>
    </row>
    <row r="372" customHeight="1" spans="1:12">
      <c r="A372" s="14" t="str">
        <f t="shared" si="8"/>
        <v>0x00000074</v>
      </c>
      <c r="B372" s="15">
        <f>SUM_HEX(C371:F371,B371,3)</f>
        <v>116</v>
      </c>
      <c r="C372" s="16" t="s">
        <v>303</v>
      </c>
      <c r="D372" s="16"/>
      <c r="E372" s="16"/>
      <c r="F372" s="16"/>
      <c r="G372" s="47"/>
      <c r="H372" s="47"/>
      <c r="I372" s="24"/>
      <c r="J372" s="18"/>
      <c r="K372" s="18"/>
      <c r="L372" s="25"/>
    </row>
    <row r="373" customHeight="1" spans="1:12">
      <c r="A373" s="14" t="str">
        <f t="shared" si="8"/>
        <v>0x00000078</v>
      </c>
      <c r="B373" s="15">
        <f>SUM_HEX(C372:F372,B372,3)</f>
        <v>120</v>
      </c>
      <c r="C373" s="16" t="s">
        <v>23</v>
      </c>
      <c r="D373" s="16" t="s">
        <v>23</v>
      </c>
      <c r="E373" s="16"/>
      <c r="F373" s="16"/>
      <c r="G373" s="47"/>
      <c r="H373" s="47"/>
      <c r="I373" s="24"/>
      <c r="J373" s="18"/>
      <c r="K373" s="18"/>
      <c r="L373" s="25"/>
    </row>
    <row r="374" customHeight="1" spans="1:12">
      <c r="A374" s="14" t="str">
        <f t="shared" si="8"/>
        <v>0x00000080</v>
      </c>
      <c r="B374" s="15">
        <f>SUM_HEX(C373:F373,B373,3)</f>
        <v>128</v>
      </c>
      <c r="C374" s="16" t="s">
        <v>274</v>
      </c>
      <c r="D374" s="16"/>
      <c r="E374" s="16"/>
      <c r="F374" s="16"/>
      <c r="G374" s="48"/>
      <c r="H374" s="48"/>
      <c r="I374" s="24"/>
      <c r="J374" s="18"/>
      <c r="K374" s="18"/>
      <c r="L374" s="25"/>
    </row>
    <row r="375" customHeight="1" spans="1:12">
      <c r="A375" s="14" t="str">
        <f t="shared" si="8"/>
        <v>0x00000084</v>
      </c>
      <c r="B375" s="15">
        <f>SUM_HEX(C374:F374,B374,3)</f>
        <v>132</v>
      </c>
      <c r="C375" s="16" t="s">
        <v>23</v>
      </c>
      <c r="D375" s="16"/>
      <c r="E375" s="16"/>
      <c r="F375" s="16"/>
      <c r="G375" s="46" t="s">
        <v>157</v>
      </c>
      <c r="H375" s="46" t="s">
        <v>212</v>
      </c>
      <c r="I375" s="24" t="s">
        <v>304</v>
      </c>
      <c r="J375" s="18"/>
      <c r="K375" s="18" t="s">
        <v>305</v>
      </c>
      <c r="L375" s="25"/>
    </row>
    <row r="376" customHeight="1" spans="1:12">
      <c r="A376" s="14" t="str">
        <f t="shared" si="8"/>
        <v>0x00000088</v>
      </c>
      <c r="B376" s="15">
        <f>SUM_HEX(C375:F375,B375,3)</f>
        <v>136</v>
      </c>
      <c r="C376" s="16" t="s">
        <v>306</v>
      </c>
      <c r="D376" s="16"/>
      <c r="E376" s="16"/>
      <c r="F376" s="16"/>
      <c r="G376" s="47"/>
      <c r="H376" s="47"/>
      <c r="I376" s="24"/>
      <c r="J376" s="18"/>
      <c r="K376" s="18"/>
      <c r="L376" s="25"/>
    </row>
    <row r="377" customHeight="1" spans="1:12">
      <c r="A377" s="14" t="str">
        <f t="shared" si="8"/>
        <v>0x0000008C</v>
      </c>
      <c r="B377" s="15">
        <f>SUM_HEX(C376:F376,B376,3)</f>
        <v>140</v>
      </c>
      <c r="C377" s="16" t="s">
        <v>307</v>
      </c>
      <c r="D377" s="16" t="s">
        <v>23</v>
      </c>
      <c r="E377" s="16"/>
      <c r="F377" s="16"/>
      <c r="G377" s="47"/>
      <c r="H377" s="47"/>
      <c r="I377" s="24"/>
      <c r="J377" s="18"/>
      <c r="K377" s="18"/>
      <c r="L377" s="25"/>
    </row>
    <row r="378" customHeight="1" spans="1:12">
      <c r="A378" s="14" t="str">
        <f t="shared" si="8"/>
        <v>0x00000094</v>
      </c>
      <c r="B378" s="15">
        <f>SUM_HEX(C377:F377,B377,3)</f>
        <v>148</v>
      </c>
      <c r="C378" s="16" t="s">
        <v>274</v>
      </c>
      <c r="D378" s="16"/>
      <c r="E378" s="16"/>
      <c r="F378" s="16"/>
      <c r="G378" s="48"/>
      <c r="H378" s="48"/>
      <c r="I378" s="24"/>
      <c r="J378" s="18"/>
      <c r="K378" s="18"/>
      <c r="L378" s="25"/>
    </row>
    <row r="379" customHeight="1" spans="1:12">
      <c r="A379" s="14" t="str">
        <f t="shared" si="8"/>
        <v>0x00000098</v>
      </c>
      <c r="B379" s="15">
        <f>SUM_HEX(C378:F378,B378,3)</f>
        <v>152</v>
      </c>
      <c r="C379" s="16" t="s">
        <v>23</v>
      </c>
      <c r="D379" s="16"/>
      <c r="E379" s="16"/>
      <c r="F379" s="16"/>
      <c r="G379" s="46" t="s">
        <v>157</v>
      </c>
      <c r="H379" s="46" t="s">
        <v>212</v>
      </c>
      <c r="I379" s="24" t="s">
        <v>308</v>
      </c>
      <c r="J379" s="18"/>
      <c r="K379" s="18" t="s">
        <v>305</v>
      </c>
      <c r="L379" s="25"/>
    </row>
    <row r="380" customHeight="1" spans="1:12">
      <c r="A380" s="14" t="str">
        <f t="shared" si="8"/>
        <v>0x0000009C</v>
      </c>
      <c r="B380" s="15">
        <f>SUM_HEX(C379:F379,B379,3)</f>
        <v>156</v>
      </c>
      <c r="C380" s="16" t="s">
        <v>309</v>
      </c>
      <c r="D380" s="16"/>
      <c r="E380" s="16"/>
      <c r="F380" s="16"/>
      <c r="G380" s="47"/>
      <c r="H380" s="47"/>
      <c r="I380" s="24"/>
      <c r="J380" s="18"/>
      <c r="K380" s="18"/>
      <c r="L380" s="25"/>
    </row>
    <row r="381" customHeight="1" spans="1:12">
      <c r="A381" s="14" t="str">
        <f t="shared" si="8"/>
        <v>0x000000A0</v>
      </c>
      <c r="B381" s="15">
        <f>SUM_HEX(C380:F380,B380,3)</f>
        <v>160</v>
      </c>
      <c r="C381" s="16" t="s">
        <v>307</v>
      </c>
      <c r="D381" s="16" t="s">
        <v>23</v>
      </c>
      <c r="E381" s="16"/>
      <c r="F381" s="16"/>
      <c r="G381" s="47"/>
      <c r="H381" s="47"/>
      <c r="I381" s="24"/>
      <c r="J381" s="18"/>
      <c r="K381" s="18"/>
      <c r="L381" s="25"/>
    </row>
    <row r="382" customHeight="1" spans="1:12">
      <c r="A382" s="14" t="str">
        <f t="shared" si="8"/>
        <v>0x000000A8</v>
      </c>
      <c r="B382" s="15">
        <f>SUM_HEX(C381:F381,B381,3)</f>
        <v>168</v>
      </c>
      <c r="C382" s="16" t="s">
        <v>274</v>
      </c>
      <c r="D382" s="16"/>
      <c r="E382" s="16"/>
      <c r="F382" s="16"/>
      <c r="G382" s="48"/>
      <c r="H382" s="48"/>
      <c r="I382" s="24"/>
      <c r="J382" s="18"/>
      <c r="K382" s="18"/>
      <c r="L382" s="25"/>
    </row>
    <row r="383" customHeight="1" spans="1:12">
      <c r="A383" s="14" t="str">
        <f t="shared" si="8"/>
        <v>0x000000AC</v>
      </c>
      <c r="B383" s="15">
        <f>SUM_HEX(C382:F382,B382,3)</f>
        <v>172</v>
      </c>
      <c r="C383" s="53" t="s">
        <v>22</v>
      </c>
      <c r="D383" s="53"/>
      <c r="E383" s="53"/>
      <c r="F383" s="53"/>
      <c r="G383" s="55" t="s">
        <v>15</v>
      </c>
      <c r="H383" s="56"/>
      <c r="I383" s="58" t="s">
        <v>285</v>
      </c>
      <c r="J383" s="54"/>
      <c r="K383" s="54" t="s">
        <v>318</v>
      </c>
      <c r="L383" s="53" t="s">
        <v>374</v>
      </c>
    </row>
    <row r="384" customHeight="1" spans="1:12">
      <c r="A384" s="14" t="str">
        <f t="shared" ref="A384:A415" si="9">"0x"&amp;DEC2HEX(B384,8)</f>
        <v>0x000000B0</v>
      </c>
      <c r="B384" s="15">
        <f>SUM_HEX(C383:F383,B383,3)</f>
        <v>176</v>
      </c>
      <c r="C384" s="16" t="s">
        <v>23</v>
      </c>
      <c r="D384" s="16"/>
      <c r="E384" s="16"/>
      <c r="F384" s="16"/>
      <c r="G384" s="18" t="s">
        <v>212</v>
      </c>
      <c r="H384" s="18"/>
      <c r="I384" s="24" t="s">
        <v>310</v>
      </c>
      <c r="J384" s="18"/>
      <c r="K384" s="18" t="s">
        <v>311</v>
      </c>
      <c r="L384" s="25"/>
    </row>
    <row r="385" customHeight="1" spans="1:12">
      <c r="A385" s="14" t="str">
        <f t="shared" si="9"/>
        <v>0x000000B4</v>
      </c>
      <c r="B385" s="15">
        <f>SUM_HEX(C384:F384,B384,3)</f>
        <v>180</v>
      </c>
      <c r="C385" s="16" t="s">
        <v>23</v>
      </c>
      <c r="D385" s="16" t="s">
        <v>23</v>
      </c>
      <c r="E385" s="16"/>
      <c r="F385" s="16"/>
      <c r="G385" s="17"/>
      <c r="H385" s="17"/>
      <c r="I385" s="22"/>
      <c r="J385" s="17"/>
      <c r="K385" s="17"/>
      <c r="L385" s="23"/>
    </row>
    <row r="386" customHeight="1" spans="1:12">
      <c r="A386" s="14" t="str">
        <f t="shared" si="9"/>
        <v>0x000000BC</v>
      </c>
      <c r="B386" s="15">
        <f>SUM_HEX(C385:F385,B385,3)</f>
        <v>188</v>
      </c>
      <c r="C386" s="16" t="s">
        <v>312</v>
      </c>
      <c r="D386" s="16"/>
      <c r="E386" s="16"/>
      <c r="F386" s="16"/>
      <c r="G386" s="18" t="s">
        <v>212</v>
      </c>
      <c r="H386" s="18"/>
      <c r="I386" s="24" t="s">
        <v>313</v>
      </c>
      <c r="J386" s="18"/>
      <c r="K386" s="18" t="s">
        <v>314</v>
      </c>
      <c r="L386" s="25" t="s">
        <v>315</v>
      </c>
    </row>
    <row r="387" customHeight="1" spans="1:12">
      <c r="A387" s="14" t="str">
        <f t="shared" si="9"/>
        <v>0x000000C0</v>
      </c>
      <c r="B387" s="15">
        <f>SUM_HEX(C386:F386,B386,3)</f>
        <v>192</v>
      </c>
      <c r="C387" s="16" t="s">
        <v>316</v>
      </c>
      <c r="D387" s="16"/>
      <c r="E387" s="16"/>
      <c r="F387" s="16"/>
      <c r="G387" s="18" t="s">
        <v>212</v>
      </c>
      <c r="H387" s="18"/>
      <c r="I387" s="49" t="s">
        <v>317</v>
      </c>
      <c r="J387" s="18"/>
      <c r="K387" s="18" t="s">
        <v>318</v>
      </c>
      <c r="L387" s="25"/>
    </row>
    <row r="388" customHeight="1" spans="1:12">
      <c r="A388" s="14" t="str">
        <f t="shared" si="9"/>
        <v>0x000000C4</v>
      </c>
      <c r="B388" s="15">
        <f>SUM_HEX(C387:F387,B387,3)</f>
        <v>196</v>
      </c>
      <c r="C388" s="16" t="s">
        <v>316</v>
      </c>
      <c r="D388" s="16"/>
      <c r="E388" s="16"/>
      <c r="F388" s="16"/>
      <c r="G388" s="18" t="s">
        <v>212</v>
      </c>
      <c r="H388" s="18"/>
      <c r="I388" s="49" t="s">
        <v>319</v>
      </c>
      <c r="J388" s="18"/>
      <c r="K388" s="18" t="s">
        <v>318</v>
      </c>
      <c r="L388" s="25"/>
    </row>
    <row r="389" customHeight="1" spans="1:12">
      <c r="A389" s="14" t="str">
        <f t="shared" si="9"/>
        <v>0x000000C8</v>
      </c>
      <c r="B389" s="15">
        <f>SUM_HEX(C388:F388,B388,3)</f>
        <v>200</v>
      </c>
      <c r="C389" s="16" t="s">
        <v>316</v>
      </c>
      <c r="D389" s="16"/>
      <c r="E389" s="16"/>
      <c r="F389" s="16"/>
      <c r="G389" s="18" t="s">
        <v>212</v>
      </c>
      <c r="H389" s="18"/>
      <c r="I389" s="49" t="s">
        <v>320</v>
      </c>
      <c r="J389" s="18"/>
      <c r="K389" s="18" t="s">
        <v>318</v>
      </c>
      <c r="L389" s="25"/>
    </row>
    <row r="390" customHeight="1" spans="1:12">
      <c r="A390" s="14" t="str">
        <f t="shared" si="9"/>
        <v>0x000000CC</v>
      </c>
      <c r="B390" s="15">
        <f>SUM_HEX(C389:F389,B389,3)</f>
        <v>204</v>
      </c>
      <c r="C390" s="16" t="s">
        <v>316</v>
      </c>
      <c r="D390" s="16"/>
      <c r="E390" s="16"/>
      <c r="F390" s="16"/>
      <c r="G390" s="18" t="s">
        <v>212</v>
      </c>
      <c r="H390" s="18"/>
      <c r="I390" s="49" t="s">
        <v>321</v>
      </c>
      <c r="J390" s="18"/>
      <c r="K390" s="18" t="s">
        <v>318</v>
      </c>
      <c r="L390" s="25"/>
    </row>
    <row r="391" customHeight="1" spans="1:12">
      <c r="A391" s="14" t="str">
        <f t="shared" si="9"/>
        <v>0x000000D0</v>
      </c>
      <c r="B391" s="15">
        <f>SUM_HEX(C390:F390,B390,3)</f>
        <v>208</v>
      </c>
      <c r="C391" s="51" t="s">
        <v>23</v>
      </c>
      <c r="D391" s="51"/>
      <c r="E391" s="51"/>
      <c r="F391" s="51"/>
      <c r="G391" s="52" t="s">
        <v>212</v>
      </c>
      <c r="H391" s="52"/>
      <c r="I391" s="59" t="s">
        <v>322</v>
      </c>
      <c r="J391" s="52"/>
      <c r="K391" s="52" t="s">
        <v>318</v>
      </c>
      <c r="L391" s="51"/>
    </row>
    <row r="392" customHeight="1" spans="1:12">
      <c r="A392" s="14" t="str">
        <f t="shared" si="9"/>
        <v>0x000000D0</v>
      </c>
      <c r="B392" s="15">
        <f>SUM_HEX(C391:F391,B391,3)</f>
        <v>208</v>
      </c>
      <c r="C392" s="51" t="s">
        <v>23</v>
      </c>
      <c r="D392" s="51"/>
      <c r="E392" s="51"/>
      <c r="F392" s="51"/>
      <c r="G392" s="52" t="s">
        <v>212</v>
      </c>
      <c r="H392" s="52"/>
      <c r="I392" s="59" t="s">
        <v>323</v>
      </c>
      <c r="J392" s="52"/>
      <c r="K392" s="52" t="s">
        <v>318</v>
      </c>
      <c r="L392" s="51"/>
    </row>
    <row r="393" customHeight="1" spans="1:12">
      <c r="A393" s="14" t="str">
        <f t="shared" si="9"/>
        <v>0x000000D0</v>
      </c>
      <c r="B393" s="15">
        <f>SUM_HEX(C392:F392,B392,3)</f>
        <v>208</v>
      </c>
      <c r="C393" s="51" t="s">
        <v>23</v>
      </c>
      <c r="D393" s="51"/>
      <c r="E393" s="51"/>
      <c r="F393" s="51"/>
      <c r="G393" s="52" t="s">
        <v>212</v>
      </c>
      <c r="H393" s="52"/>
      <c r="I393" s="59" t="s">
        <v>324</v>
      </c>
      <c r="J393" s="52"/>
      <c r="K393" s="52" t="s">
        <v>318</v>
      </c>
      <c r="L393" s="51"/>
    </row>
    <row r="394" customHeight="1" spans="1:12">
      <c r="A394" s="14" t="str">
        <f t="shared" si="9"/>
        <v>0x000000D0</v>
      </c>
      <c r="B394" s="15">
        <f>SUM_HEX(C393:F393,B393,3)</f>
        <v>208</v>
      </c>
      <c r="C394" s="51" t="s">
        <v>23</v>
      </c>
      <c r="D394" s="51"/>
      <c r="E394" s="51"/>
      <c r="F394" s="51"/>
      <c r="G394" s="52" t="s">
        <v>212</v>
      </c>
      <c r="H394" s="52"/>
      <c r="I394" s="59" t="s">
        <v>325</v>
      </c>
      <c r="J394" s="52"/>
      <c r="K394" s="52" t="s">
        <v>318</v>
      </c>
      <c r="L394" s="51"/>
    </row>
    <row r="395" customHeight="1" spans="1:12">
      <c r="A395" s="14" t="str">
        <f t="shared" si="9"/>
        <v>0x000000D0</v>
      </c>
      <c r="B395" s="15">
        <f>SUM_HEX(C394:F394,B394,3)</f>
        <v>208</v>
      </c>
      <c r="C395" s="16" t="s">
        <v>23</v>
      </c>
      <c r="D395" s="16"/>
      <c r="E395" s="16"/>
      <c r="F395" s="16"/>
      <c r="G395" s="46" t="s">
        <v>157</v>
      </c>
      <c r="H395" s="46" t="s">
        <v>326</v>
      </c>
      <c r="I395" s="24" t="s">
        <v>327</v>
      </c>
      <c r="J395" s="18"/>
      <c r="K395" s="18" t="s">
        <v>328</v>
      </c>
      <c r="L395" s="25" t="s">
        <v>272</v>
      </c>
    </row>
    <row r="396" customHeight="1" spans="1:12">
      <c r="A396" s="14" t="str">
        <f t="shared" si="9"/>
        <v>0x000000D4</v>
      </c>
      <c r="B396" s="15">
        <f>SUM_HEX(C395:F395,B395,3)</f>
        <v>212</v>
      </c>
      <c r="C396" s="16" t="s">
        <v>329</v>
      </c>
      <c r="D396" s="16"/>
      <c r="E396" s="16"/>
      <c r="F396" s="16"/>
      <c r="G396" s="47"/>
      <c r="H396" s="47"/>
      <c r="I396" s="24"/>
      <c r="J396" s="18"/>
      <c r="K396" s="18"/>
      <c r="L396" s="25"/>
    </row>
    <row r="397" customHeight="1" spans="1:12">
      <c r="A397" s="14" t="str">
        <f t="shared" si="9"/>
        <v>0x000000D8</v>
      </c>
      <c r="B397" s="15">
        <f>SUM_HEX(C396:F396,B396,3)</f>
        <v>216</v>
      </c>
      <c r="C397" s="16" t="s">
        <v>330</v>
      </c>
      <c r="D397" s="16" t="s">
        <v>330</v>
      </c>
      <c r="E397" s="16" t="s">
        <v>330</v>
      </c>
      <c r="F397" s="16"/>
      <c r="G397" s="47"/>
      <c r="H397" s="47"/>
      <c r="I397" s="24"/>
      <c r="J397" s="18"/>
      <c r="K397" s="18"/>
      <c r="L397" s="25"/>
    </row>
    <row r="398" customHeight="1" spans="1:12">
      <c r="A398" s="14" t="str">
        <f t="shared" si="9"/>
        <v>0x000000E4</v>
      </c>
      <c r="B398" s="15">
        <f>SUM_HEX(C397:F397,B397,3)</f>
        <v>228</v>
      </c>
      <c r="C398" s="16" t="s">
        <v>23</v>
      </c>
      <c r="D398" s="16" t="s">
        <v>23</v>
      </c>
      <c r="E398" s="16" t="s">
        <v>23</v>
      </c>
      <c r="F398" s="16"/>
      <c r="G398" s="47"/>
      <c r="H398" s="47"/>
      <c r="I398" s="24"/>
      <c r="J398" s="18"/>
      <c r="K398" s="18"/>
      <c r="L398" s="25"/>
    </row>
    <row r="399" customHeight="1" spans="1:12">
      <c r="A399" s="14" t="str">
        <f t="shared" si="9"/>
        <v>0x000000F0</v>
      </c>
      <c r="B399" s="15">
        <f>SUM_HEX(C398:F398,B398,3)</f>
        <v>240</v>
      </c>
      <c r="C399" s="16" t="s">
        <v>274</v>
      </c>
      <c r="D399" s="16"/>
      <c r="E399" s="16"/>
      <c r="F399" s="16"/>
      <c r="G399" s="48"/>
      <c r="H399" s="48"/>
      <c r="I399" s="24"/>
      <c r="J399" s="18"/>
      <c r="K399" s="18"/>
      <c r="L399" s="25"/>
    </row>
    <row r="400" customHeight="1" spans="1:12">
      <c r="A400" s="14" t="str">
        <f t="shared" si="9"/>
        <v>0x000000F4</v>
      </c>
      <c r="B400" s="15">
        <f>SUM_HEX(C399:F399,B399,3)</f>
        <v>244</v>
      </c>
      <c r="C400" s="16" t="s">
        <v>23</v>
      </c>
      <c r="D400" s="16"/>
      <c r="E400" s="16"/>
      <c r="F400" s="16"/>
      <c r="G400" s="46" t="s">
        <v>157</v>
      </c>
      <c r="H400" s="46" t="s">
        <v>326</v>
      </c>
      <c r="I400" s="24" t="s">
        <v>331</v>
      </c>
      <c r="J400" s="18"/>
      <c r="K400" s="18" t="s">
        <v>332</v>
      </c>
      <c r="L400" s="25" t="s">
        <v>333</v>
      </c>
    </row>
    <row r="401" customHeight="1" spans="1:12">
      <c r="A401" s="14" t="str">
        <f t="shared" si="9"/>
        <v>0x000000F8</v>
      </c>
      <c r="B401" s="15">
        <f>SUM_HEX(C400:F400,B400,3)</f>
        <v>248</v>
      </c>
      <c r="C401" s="16" t="s">
        <v>334</v>
      </c>
      <c r="D401" s="16"/>
      <c r="E401" s="16"/>
      <c r="F401" s="16"/>
      <c r="G401" s="47"/>
      <c r="H401" s="47"/>
      <c r="I401" s="24"/>
      <c r="J401" s="18"/>
      <c r="K401" s="18"/>
      <c r="L401" s="25"/>
    </row>
    <row r="402" customHeight="1" spans="1:12">
      <c r="A402" s="14" t="str">
        <f t="shared" si="9"/>
        <v>0x000000FC</v>
      </c>
      <c r="B402" s="15">
        <f>SUM_HEX(C401:F401,B401,3)</f>
        <v>252</v>
      </c>
      <c r="C402" s="16" t="s">
        <v>23</v>
      </c>
      <c r="D402" s="16" t="s">
        <v>23</v>
      </c>
      <c r="E402" s="16" t="s">
        <v>23</v>
      </c>
      <c r="F402" s="16"/>
      <c r="G402" s="47"/>
      <c r="H402" s="47"/>
      <c r="I402" s="24"/>
      <c r="J402" s="18"/>
      <c r="K402" s="18"/>
      <c r="L402" s="25"/>
    </row>
    <row r="403" customHeight="1" spans="1:12">
      <c r="A403" s="14" t="str">
        <f t="shared" si="9"/>
        <v>0x00000108</v>
      </c>
      <c r="B403" s="15">
        <f>SUM_HEX(C402:F402,B402,3)</f>
        <v>264</v>
      </c>
      <c r="C403" s="16" t="s">
        <v>23</v>
      </c>
      <c r="D403" s="16" t="s">
        <v>23</v>
      </c>
      <c r="E403" s="16" t="s">
        <v>23</v>
      </c>
      <c r="F403" s="16"/>
      <c r="G403" s="47"/>
      <c r="H403" s="47"/>
      <c r="I403" s="24"/>
      <c r="J403" s="18"/>
      <c r="K403" s="18"/>
      <c r="L403" s="25"/>
    </row>
    <row r="404" customHeight="1" spans="1:12">
      <c r="A404" s="14" t="str">
        <f t="shared" si="9"/>
        <v>0x00000114</v>
      </c>
      <c r="B404" s="15">
        <f>SUM_HEX(C403:F403,B403,3)</f>
        <v>276</v>
      </c>
      <c r="C404" s="16" t="s">
        <v>274</v>
      </c>
      <c r="D404" s="16"/>
      <c r="E404" s="16"/>
      <c r="F404" s="16"/>
      <c r="G404" s="48"/>
      <c r="H404" s="48"/>
      <c r="I404" s="24"/>
      <c r="J404" s="18"/>
      <c r="K404" s="18"/>
      <c r="L404" s="25"/>
    </row>
    <row r="405" customHeight="1" spans="1:12">
      <c r="A405" s="14" t="str">
        <f t="shared" si="9"/>
        <v>0x00000118</v>
      </c>
      <c r="B405" s="15">
        <f>SUM_HEX(C404:F404,B404,3)</f>
        <v>280</v>
      </c>
      <c r="C405" s="16" t="s">
        <v>23</v>
      </c>
      <c r="D405" s="16"/>
      <c r="E405" s="16"/>
      <c r="F405" s="16"/>
      <c r="G405" s="46" t="s">
        <v>157</v>
      </c>
      <c r="H405" s="46" t="s">
        <v>335</v>
      </c>
      <c r="I405" s="24" t="s">
        <v>336</v>
      </c>
      <c r="J405" s="18"/>
      <c r="K405" s="18" t="s">
        <v>337</v>
      </c>
      <c r="L405" s="25"/>
    </row>
    <row r="406" customHeight="1" spans="1:12">
      <c r="A406" s="14" t="str">
        <f t="shared" si="9"/>
        <v>0x0000011C</v>
      </c>
      <c r="B406" s="15">
        <f>SUM_HEX(C405:F405,B405,3)</f>
        <v>284</v>
      </c>
      <c r="C406" s="16" t="s">
        <v>338</v>
      </c>
      <c r="D406" s="16"/>
      <c r="E406" s="16"/>
      <c r="F406" s="16"/>
      <c r="G406" s="47"/>
      <c r="H406" s="47"/>
      <c r="I406" s="24"/>
      <c r="J406" s="18"/>
      <c r="K406" s="18"/>
      <c r="L406" s="25"/>
    </row>
    <row r="407" customHeight="1" spans="1:12">
      <c r="A407" s="14" t="str">
        <f t="shared" si="9"/>
        <v>0x00000120</v>
      </c>
      <c r="B407" s="15">
        <f>SUM_HEX(C406:F406,B406,3)</f>
        <v>288</v>
      </c>
      <c r="C407" s="16" t="s">
        <v>274</v>
      </c>
      <c r="D407" s="16" t="s">
        <v>23</v>
      </c>
      <c r="E407" s="16"/>
      <c r="F407" s="16"/>
      <c r="G407" s="47"/>
      <c r="H407" s="47"/>
      <c r="I407" s="24"/>
      <c r="J407" s="18"/>
      <c r="K407" s="18"/>
      <c r="L407" s="25"/>
    </row>
    <row r="408" customHeight="1" spans="1:12">
      <c r="A408" s="14" t="str">
        <f t="shared" si="9"/>
        <v>0x00000128</v>
      </c>
      <c r="B408" s="15">
        <f>SUM_HEX(C407:F407,B407,3)</f>
        <v>296</v>
      </c>
      <c r="C408" s="16" t="s">
        <v>274</v>
      </c>
      <c r="D408" s="16"/>
      <c r="E408" s="16"/>
      <c r="F408" s="16"/>
      <c r="G408" s="48"/>
      <c r="H408" s="48"/>
      <c r="I408" s="24"/>
      <c r="J408" s="18"/>
      <c r="K408" s="18"/>
      <c r="L408" s="25"/>
    </row>
    <row r="409" customHeight="1" spans="1:12">
      <c r="A409" s="14" t="str">
        <f t="shared" si="9"/>
        <v>0x0000012C</v>
      </c>
      <c r="B409" s="15">
        <f>SUM_HEX(C408:F408,B408,3)</f>
        <v>300</v>
      </c>
      <c r="C409" s="16" t="s">
        <v>23</v>
      </c>
      <c r="D409" s="16"/>
      <c r="E409" s="16"/>
      <c r="F409" s="16"/>
      <c r="G409" s="46" t="s">
        <v>157</v>
      </c>
      <c r="H409" s="46" t="s">
        <v>335</v>
      </c>
      <c r="I409" s="24" t="s">
        <v>339</v>
      </c>
      <c r="J409" s="18"/>
      <c r="K409" s="18" t="s">
        <v>337</v>
      </c>
      <c r="L409" s="25"/>
    </row>
    <row r="410" customHeight="1" spans="1:12">
      <c r="A410" s="14" t="str">
        <f t="shared" si="9"/>
        <v>0x00000130</v>
      </c>
      <c r="B410" s="15">
        <f>SUM_HEX(C409:F409,B409,3)</f>
        <v>304</v>
      </c>
      <c r="C410" s="16" t="s">
        <v>340</v>
      </c>
      <c r="D410" s="16"/>
      <c r="E410" s="16"/>
      <c r="F410" s="16"/>
      <c r="G410" s="47"/>
      <c r="H410" s="47"/>
      <c r="I410" s="24"/>
      <c r="J410" s="18"/>
      <c r="K410" s="18"/>
      <c r="L410" s="25"/>
    </row>
    <row r="411" customHeight="1" spans="1:12">
      <c r="A411" s="14" t="str">
        <f t="shared" si="9"/>
        <v>0x00000134</v>
      </c>
      <c r="B411" s="15">
        <f>SUM_HEX(C410:F410,B410,3)</f>
        <v>308</v>
      </c>
      <c r="C411" s="16" t="s">
        <v>274</v>
      </c>
      <c r="D411" s="16" t="s">
        <v>23</v>
      </c>
      <c r="E411" s="16"/>
      <c r="F411" s="16"/>
      <c r="G411" s="47"/>
      <c r="H411" s="47"/>
      <c r="I411" s="24"/>
      <c r="J411" s="18"/>
      <c r="K411" s="18"/>
      <c r="L411" s="25"/>
    </row>
    <row r="412" customHeight="1" spans="1:12">
      <c r="A412" s="14" t="str">
        <f t="shared" si="9"/>
        <v>0x0000013C</v>
      </c>
      <c r="B412" s="15">
        <f>SUM_HEX(C411:F411,B411,3)</f>
        <v>316</v>
      </c>
      <c r="C412" s="16" t="s">
        <v>274</v>
      </c>
      <c r="D412" s="16"/>
      <c r="E412" s="16"/>
      <c r="F412" s="16"/>
      <c r="G412" s="48"/>
      <c r="H412" s="48"/>
      <c r="I412" s="24"/>
      <c r="J412" s="18"/>
      <c r="K412" s="18"/>
      <c r="L412" s="25"/>
    </row>
    <row r="413" customHeight="1" spans="1:12">
      <c r="A413" s="14" t="str">
        <f t="shared" si="9"/>
        <v>0x00000140</v>
      </c>
      <c r="B413" s="15">
        <f>SUM_HEX(C412:F412,B412,3)</f>
        <v>320</v>
      </c>
      <c r="C413" s="16" t="s">
        <v>23</v>
      </c>
      <c r="D413" s="16"/>
      <c r="E413" s="16"/>
      <c r="F413" s="16"/>
      <c r="G413" s="46" t="s">
        <v>157</v>
      </c>
      <c r="H413" s="46" t="s">
        <v>335</v>
      </c>
      <c r="I413" s="24" t="s">
        <v>341</v>
      </c>
      <c r="J413" s="18"/>
      <c r="K413" s="18" t="s">
        <v>337</v>
      </c>
      <c r="L413" s="25"/>
    </row>
    <row r="414" customHeight="1" spans="1:12">
      <c r="A414" s="14" t="str">
        <f t="shared" si="9"/>
        <v>0x00000144</v>
      </c>
      <c r="B414" s="15">
        <f>SUM_HEX(C413:F413,B413,3)</f>
        <v>324</v>
      </c>
      <c r="C414" s="16" t="s">
        <v>342</v>
      </c>
      <c r="D414" s="16"/>
      <c r="E414" s="16"/>
      <c r="F414" s="16"/>
      <c r="G414" s="47"/>
      <c r="H414" s="47"/>
      <c r="I414" s="24"/>
      <c r="J414" s="18"/>
      <c r="K414" s="18"/>
      <c r="L414" s="25"/>
    </row>
    <row r="415" customHeight="1" spans="1:12">
      <c r="A415" s="14" t="str">
        <f t="shared" si="9"/>
        <v>0x00000148</v>
      </c>
      <c r="B415" s="15">
        <f>SUM_HEX(C414:F414,B414,3)</f>
        <v>328</v>
      </c>
      <c r="C415" s="16" t="s">
        <v>274</v>
      </c>
      <c r="D415" s="16" t="s">
        <v>23</v>
      </c>
      <c r="E415" s="16"/>
      <c r="F415" s="16"/>
      <c r="G415" s="47"/>
      <c r="H415" s="47"/>
      <c r="I415" s="24"/>
      <c r="J415" s="18"/>
      <c r="K415" s="18"/>
      <c r="L415" s="25"/>
    </row>
    <row r="416" customHeight="1" spans="1:12">
      <c r="A416" s="14" t="str">
        <f t="shared" ref="A416:A425" si="10">"0x"&amp;DEC2HEX(B416,8)</f>
        <v>0x00000150</v>
      </c>
      <c r="B416" s="15">
        <f>SUM_HEX(C415:F415,B415,3)</f>
        <v>336</v>
      </c>
      <c r="C416" s="16" t="s">
        <v>274</v>
      </c>
      <c r="D416" s="16"/>
      <c r="E416" s="16"/>
      <c r="F416" s="16"/>
      <c r="G416" s="48"/>
      <c r="H416" s="48"/>
      <c r="I416" s="24"/>
      <c r="J416" s="18"/>
      <c r="K416" s="18"/>
      <c r="L416" s="25"/>
    </row>
    <row r="417" customHeight="1" spans="1:12">
      <c r="A417" s="14" t="str">
        <f t="shared" si="10"/>
        <v>0x00000154</v>
      </c>
      <c r="B417" s="15">
        <f>SUM_HEX(C416:F416,B416,3)</f>
        <v>340</v>
      </c>
      <c r="C417" s="16" t="s">
        <v>23</v>
      </c>
      <c r="D417" s="16"/>
      <c r="E417" s="16"/>
      <c r="F417" s="16"/>
      <c r="G417" s="18" t="s">
        <v>212</v>
      </c>
      <c r="H417" s="18"/>
      <c r="I417" s="24" t="s">
        <v>343</v>
      </c>
      <c r="J417" s="50"/>
      <c r="K417" s="18" t="s">
        <v>344</v>
      </c>
      <c r="L417" s="25"/>
    </row>
    <row r="418" customHeight="1" spans="1:12">
      <c r="A418" s="14" t="str">
        <f t="shared" si="10"/>
        <v>0x00000158</v>
      </c>
      <c r="B418" s="15">
        <f>SUM_HEX(C417:F417,B417,3)</f>
        <v>344</v>
      </c>
      <c r="C418" s="53" t="s">
        <v>23</v>
      </c>
      <c r="D418" s="53"/>
      <c r="E418" s="53"/>
      <c r="F418" s="53"/>
      <c r="G418" s="55" t="s">
        <v>15</v>
      </c>
      <c r="H418" s="56"/>
      <c r="I418" s="58" t="s">
        <v>286</v>
      </c>
      <c r="J418" s="60"/>
      <c r="K418" s="54" t="s">
        <v>318</v>
      </c>
      <c r="L418" s="53" t="s">
        <v>374</v>
      </c>
    </row>
    <row r="419" customHeight="1" spans="1:12">
      <c r="A419" s="14" t="str">
        <f t="shared" si="10"/>
        <v>0x0000015C</v>
      </c>
      <c r="B419" s="15">
        <f>SUM_HEX(C418:F418,B418,3)</f>
        <v>348</v>
      </c>
      <c r="C419" s="16" t="s">
        <v>148</v>
      </c>
      <c r="D419" s="16"/>
      <c r="E419" s="16"/>
      <c r="F419" s="16"/>
      <c r="G419" s="18" t="s">
        <v>212</v>
      </c>
      <c r="H419" s="18"/>
      <c r="I419" s="24" t="s">
        <v>345</v>
      </c>
      <c r="J419" s="50"/>
      <c r="K419" s="18" t="s">
        <v>346</v>
      </c>
      <c r="L419" s="25"/>
    </row>
    <row r="420" customHeight="1" spans="1:12">
      <c r="A420" s="14" t="str">
        <f t="shared" si="10"/>
        <v>0x00000160</v>
      </c>
      <c r="B420" s="15">
        <f>SUM_HEX(C419:F419,B419,3)</f>
        <v>352</v>
      </c>
      <c r="C420" s="16" t="s">
        <v>148</v>
      </c>
      <c r="D420" s="16"/>
      <c r="E420" s="16"/>
      <c r="F420" s="16"/>
      <c r="G420" s="18" t="s">
        <v>212</v>
      </c>
      <c r="H420" s="18"/>
      <c r="I420" s="24" t="s">
        <v>347</v>
      </c>
      <c r="J420" s="50"/>
      <c r="K420" s="18" t="s">
        <v>346</v>
      </c>
      <c r="L420" s="25"/>
    </row>
    <row r="421" customHeight="1" spans="1:12">
      <c r="A421" s="14" t="str">
        <f t="shared" si="10"/>
        <v>0x00000164</v>
      </c>
      <c r="B421" s="15">
        <f>SUM_HEX(C420:F420,B420,3)</f>
        <v>356</v>
      </c>
      <c r="C421" s="16" t="s">
        <v>23</v>
      </c>
      <c r="D421" s="16"/>
      <c r="E421" s="16"/>
      <c r="F421" s="16"/>
      <c r="G421" s="18" t="s">
        <v>212</v>
      </c>
      <c r="H421" s="18"/>
      <c r="I421" s="24" t="s">
        <v>348</v>
      </c>
      <c r="J421" s="50"/>
      <c r="K421" s="18"/>
      <c r="L421" s="25"/>
    </row>
    <row r="422" customHeight="1" spans="1:12">
      <c r="A422" s="14" t="str">
        <f t="shared" si="10"/>
        <v>0x00000168</v>
      </c>
      <c r="B422" s="15">
        <f>SUM_HEX(C421:F421,B421,3)</f>
        <v>360</v>
      </c>
      <c r="C422" s="53" t="s">
        <v>22</v>
      </c>
      <c r="D422" s="53"/>
      <c r="E422" s="53"/>
      <c r="F422" s="53"/>
      <c r="G422" s="55" t="s">
        <v>15</v>
      </c>
      <c r="H422" s="56"/>
      <c r="I422" s="58" t="s">
        <v>287</v>
      </c>
      <c r="J422" s="54"/>
      <c r="K422" s="54" t="s">
        <v>318</v>
      </c>
      <c r="L422" s="53" t="s">
        <v>374</v>
      </c>
    </row>
    <row r="423" customHeight="1" spans="1:12">
      <c r="A423" s="14" t="str">
        <f t="shared" si="10"/>
        <v>0x0000016C</v>
      </c>
      <c r="B423" s="15">
        <f>SUM_HEX(C422:F422,B422,3)</f>
        <v>364</v>
      </c>
      <c r="C423" s="16" t="s">
        <v>23</v>
      </c>
      <c r="D423" s="16"/>
      <c r="E423" s="16"/>
      <c r="F423" s="16"/>
      <c r="G423" s="18" t="s">
        <v>33</v>
      </c>
      <c r="H423" s="18"/>
      <c r="I423" s="24" t="s">
        <v>349</v>
      </c>
      <c r="J423" s="18"/>
      <c r="K423" s="18"/>
      <c r="L423" s="25"/>
    </row>
    <row r="424" customHeight="1" spans="1:12">
      <c r="A424" s="14" t="str">
        <f t="shared" si="10"/>
        <v>0x00000170</v>
      </c>
      <c r="B424" s="15">
        <f>SUM_HEX(C423:F423,B423,3)</f>
        <v>368</v>
      </c>
      <c r="C424" s="16" t="s">
        <v>23</v>
      </c>
      <c r="D424" s="16"/>
      <c r="E424" s="16"/>
      <c r="F424" s="16"/>
      <c r="G424" s="17"/>
      <c r="H424" s="17"/>
      <c r="I424" s="22"/>
      <c r="J424" s="17"/>
      <c r="K424" s="17"/>
      <c r="L424" s="23"/>
    </row>
    <row r="425" customHeight="1" spans="1:12">
      <c r="A425" s="14" t="str">
        <f t="shared" si="10"/>
        <v>0x00000174</v>
      </c>
      <c r="B425" s="15">
        <f>SUM_HEX(C424:F424,B424,3)</f>
        <v>372</v>
      </c>
      <c r="C425" s="16" t="s">
        <v>23</v>
      </c>
      <c r="D425" s="16"/>
      <c r="E425" s="16"/>
      <c r="F425" s="16"/>
      <c r="G425" s="18" t="s">
        <v>212</v>
      </c>
      <c r="H425" s="18"/>
      <c r="I425" s="24" t="s">
        <v>350</v>
      </c>
      <c r="J425" s="18"/>
      <c r="K425" s="18"/>
      <c r="L425" s="25" t="s">
        <v>272</v>
      </c>
    </row>
    <row r="426" customHeight="1" spans="1:12">
      <c r="A426" s="14" t="str">
        <f t="shared" ref="A425:A481" si="11">"0x"&amp;DEC2HEX(B426,8)</f>
        <v>0x00000178</v>
      </c>
      <c r="B426" s="15">
        <f>SUM_HEX(C425:F425,B425,3)</f>
        <v>376</v>
      </c>
      <c r="C426" s="16" t="s">
        <v>23</v>
      </c>
      <c r="D426" s="16"/>
      <c r="E426" s="16"/>
      <c r="F426" s="16"/>
      <c r="G426" s="18" t="s">
        <v>212</v>
      </c>
      <c r="H426" s="18"/>
      <c r="I426" s="24" t="s">
        <v>351</v>
      </c>
      <c r="J426" s="18"/>
      <c r="K426" s="18"/>
      <c r="L426" s="25"/>
    </row>
    <row r="427" customHeight="1" spans="1:12">
      <c r="A427" s="14" t="str">
        <f t="shared" si="11"/>
        <v>0x0000017C</v>
      </c>
      <c r="B427" s="15">
        <f>SUM_HEX(C426:F426,B426,3)</f>
        <v>380</v>
      </c>
      <c r="C427" s="16" t="s">
        <v>23</v>
      </c>
      <c r="D427" s="16"/>
      <c r="E427" s="16"/>
      <c r="F427" s="16"/>
      <c r="G427" s="18" t="s">
        <v>212</v>
      </c>
      <c r="H427" s="18"/>
      <c r="I427" s="24" t="s">
        <v>352</v>
      </c>
      <c r="J427" s="18"/>
      <c r="K427" s="18"/>
      <c r="L427" s="25"/>
    </row>
    <row r="428" customHeight="1" spans="1:12">
      <c r="A428" s="14" t="str">
        <f t="shared" si="11"/>
        <v>0x00000180</v>
      </c>
      <c r="B428" s="15">
        <f>SUM_HEX(C427:F427,B427,3)</f>
        <v>384</v>
      </c>
      <c r="C428" s="16" t="s">
        <v>353</v>
      </c>
      <c r="D428" s="16"/>
      <c r="E428" s="16"/>
      <c r="F428" s="16"/>
      <c r="G428" s="18" t="s">
        <v>212</v>
      </c>
      <c r="H428" s="18"/>
      <c r="I428" s="24" t="s">
        <v>354</v>
      </c>
      <c r="J428" s="18"/>
      <c r="K428" s="18"/>
      <c r="L428" s="25"/>
    </row>
    <row r="429" customHeight="1" spans="1:12">
      <c r="A429" s="14" t="str">
        <f t="shared" si="11"/>
        <v>0x00000184</v>
      </c>
      <c r="B429" s="15">
        <f>SUM_HEX(C428:F428,B428,3)</f>
        <v>388</v>
      </c>
      <c r="C429" s="16" t="s">
        <v>29</v>
      </c>
      <c r="D429" s="16"/>
      <c r="E429" s="16"/>
      <c r="F429" s="16"/>
      <c r="G429" s="18" t="s">
        <v>15</v>
      </c>
      <c r="H429" s="18"/>
      <c r="I429" s="24"/>
      <c r="J429" s="18"/>
      <c r="K429" s="18"/>
      <c r="L429" s="25"/>
    </row>
    <row r="430" customHeight="1" spans="1:12">
      <c r="A430" s="14" t="str">
        <f t="shared" si="11"/>
        <v>0x00000188</v>
      </c>
      <c r="B430" s="15">
        <f>SUM_HEX(C429:F429,B429,3)</f>
        <v>392</v>
      </c>
      <c r="C430" s="16" t="s">
        <v>355</v>
      </c>
      <c r="D430" s="16"/>
      <c r="E430" s="16"/>
      <c r="F430" s="16"/>
      <c r="G430" s="18" t="s">
        <v>15</v>
      </c>
      <c r="H430" s="18"/>
      <c r="I430" s="24" t="s">
        <v>356</v>
      </c>
      <c r="J430" s="18"/>
      <c r="K430" s="18"/>
      <c r="L430" s="25"/>
    </row>
    <row r="431" customHeight="1" spans="1:12">
      <c r="A431" s="14" t="str">
        <f t="shared" si="11"/>
        <v>0x0000018C</v>
      </c>
      <c r="B431" s="15">
        <f>SUM_HEX(C430:F430,B430,3)</f>
        <v>396</v>
      </c>
      <c r="C431" s="16" t="s">
        <v>23</v>
      </c>
      <c r="D431" s="16"/>
      <c r="E431" s="16"/>
      <c r="F431" s="16"/>
      <c r="G431" s="46" t="s">
        <v>157</v>
      </c>
      <c r="H431" s="46" t="s">
        <v>212</v>
      </c>
      <c r="I431" s="18" t="s">
        <v>357</v>
      </c>
      <c r="J431" s="18"/>
      <c r="K431" s="18"/>
      <c r="L431" s="25"/>
    </row>
    <row r="432" customHeight="1" spans="1:12">
      <c r="A432" s="14" t="str">
        <f t="shared" si="11"/>
        <v>0x00000190</v>
      </c>
      <c r="B432" s="15">
        <f>SUM_HEX(C431:F431,B431,3)</f>
        <v>400</v>
      </c>
      <c r="C432" s="16" t="s">
        <v>358</v>
      </c>
      <c r="D432" s="16"/>
      <c r="E432" s="16"/>
      <c r="F432" s="16"/>
      <c r="G432" s="47"/>
      <c r="H432" s="47"/>
      <c r="I432" s="18"/>
      <c r="J432" s="18"/>
      <c r="K432" s="18"/>
      <c r="L432" s="25"/>
    </row>
    <row r="433" customHeight="1" spans="1:12">
      <c r="A433" s="14" t="str">
        <f t="shared" si="11"/>
        <v>0x00000194</v>
      </c>
      <c r="B433" s="15">
        <f>SUM_HEX(C432:F432,B432,3)</f>
        <v>404</v>
      </c>
      <c r="C433" s="16" t="s">
        <v>359</v>
      </c>
      <c r="D433" s="16" t="s">
        <v>23</v>
      </c>
      <c r="E433" s="16"/>
      <c r="F433" s="16"/>
      <c r="G433" s="47"/>
      <c r="H433" s="47"/>
      <c r="I433" s="18"/>
      <c r="J433" s="18"/>
      <c r="K433" s="18"/>
      <c r="L433" s="25"/>
    </row>
    <row r="434" customHeight="1" spans="1:12">
      <c r="A434" s="14" t="str">
        <f t="shared" si="11"/>
        <v>0x0000019C</v>
      </c>
      <c r="B434" s="15">
        <f>SUM_HEX(C433:F433,B433,3)</f>
        <v>412</v>
      </c>
      <c r="C434" s="16" t="s">
        <v>274</v>
      </c>
      <c r="D434" s="16"/>
      <c r="E434" s="16"/>
      <c r="F434" s="16"/>
      <c r="G434" s="48"/>
      <c r="H434" s="48"/>
      <c r="I434" s="18"/>
      <c r="J434" s="18"/>
      <c r="K434" s="18"/>
      <c r="L434" s="25"/>
    </row>
    <row r="435" customHeight="1" spans="1:12">
      <c r="A435" s="14" t="str">
        <f t="shared" si="11"/>
        <v>0x000001A0</v>
      </c>
      <c r="B435" s="15">
        <f>SUM_HEX(C434:F434,B434,3)</f>
        <v>416</v>
      </c>
      <c r="C435" s="16" t="s">
        <v>23</v>
      </c>
      <c r="D435" s="16"/>
      <c r="E435" s="16"/>
      <c r="F435" s="16"/>
      <c r="G435" s="18" t="s">
        <v>15</v>
      </c>
      <c r="H435" s="18"/>
      <c r="I435" s="24" t="s">
        <v>360</v>
      </c>
      <c r="J435" s="18"/>
      <c r="K435" s="18"/>
      <c r="L435" s="25"/>
    </row>
    <row r="436" customHeight="1" spans="1:12">
      <c r="A436" s="14" t="str">
        <f t="shared" si="11"/>
        <v>0x000001A4</v>
      </c>
      <c r="B436" s="15">
        <f>SUM_HEX(C435:F435,B435,3)</f>
        <v>420</v>
      </c>
      <c r="C436" s="16" t="s">
        <v>23</v>
      </c>
      <c r="D436" s="16"/>
      <c r="E436" s="16"/>
      <c r="F436" s="16"/>
      <c r="G436" s="46" t="s">
        <v>157</v>
      </c>
      <c r="H436" s="46" t="s">
        <v>326</v>
      </c>
      <c r="I436" s="24" t="s">
        <v>361</v>
      </c>
      <c r="J436" s="18"/>
      <c r="K436" s="18"/>
      <c r="L436" s="25" t="s">
        <v>272</v>
      </c>
    </row>
    <row r="437" customHeight="1" spans="1:12">
      <c r="A437" s="14" t="str">
        <f t="shared" si="11"/>
        <v>0x000001A8</v>
      </c>
      <c r="B437" s="15">
        <f>SUM_HEX(C436:F436,B436,3)</f>
        <v>424</v>
      </c>
      <c r="C437" s="16" t="s">
        <v>362</v>
      </c>
      <c r="D437" s="16"/>
      <c r="E437" s="16"/>
      <c r="F437" s="16"/>
      <c r="G437" s="47"/>
      <c r="H437" s="47"/>
      <c r="I437" s="18"/>
      <c r="J437" s="18"/>
      <c r="K437" s="18"/>
      <c r="L437" s="25"/>
    </row>
    <row r="438" customHeight="1" spans="1:12">
      <c r="A438" s="14" t="str">
        <f t="shared" si="11"/>
        <v>0x000001AC</v>
      </c>
      <c r="B438" s="15">
        <f>SUM_HEX(C437:F437,B437,3)</f>
        <v>428</v>
      </c>
      <c r="C438" s="16" t="s">
        <v>330</v>
      </c>
      <c r="D438" s="16" t="s">
        <v>330</v>
      </c>
      <c r="E438" s="16" t="s">
        <v>330</v>
      </c>
      <c r="F438" s="16"/>
      <c r="G438" s="47"/>
      <c r="H438" s="47"/>
      <c r="I438" s="18"/>
      <c r="J438" s="18"/>
      <c r="K438" s="18"/>
      <c r="L438" s="25"/>
    </row>
    <row r="439" customHeight="1" spans="1:12">
      <c r="A439" s="14" t="str">
        <f t="shared" si="11"/>
        <v>0x000001B8</v>
      </c>
      <c r="B439" s="15">
        <f>SUM_HEX(C438:F438,B438,3)</f>
        <v>440</v>
      </c>
      <c r="C439" s="16" t="s">
        <v>23</v>
      </c>
      <c r="D439" s="16" t="s">
        <v>23</v>
      </c>
      <c r="E439" s="16" t="s">
        <v>23</v>
      </c>
      <c r="F439" s="16"/>
      <c r="G439" s="47"/>
      <c r="H439" s="47"/>
      <c r="I439" s="18"/>
      <c r="J439" s="18"/>
      <c r="K439" s="18"/>
      <c r="L439" s="25"/>
    </row>
    <row r="440" customHeight="1" spans="1:12">
      <c r="A440" s="14" t="str">
        <f t="shared" si="11"/>
        <v>0x000001C4</v>
      </c>
      <c r="B440" s="15">
        <f>SUM_HEX(C439:F439,B439,3)</f>
        <v>452</v>
      </c>
      <c r="C440" s="16" t="s">
        <v>274</v>
      </c>
      <c r="D440" s="16"/>
      <c r="E440" s="16"/>
      <c r="F440" s="16"/>
      <c r="G440" s="48"/>
      <c r="H440" s="48"/>
      <c r="I440" s="18"/>
      <c r="J440" s="18"/>
      <c r="K440" s="18"/>
      <c r="L440" s="25"/>
    </row>
    <row r="441" customHeight="1" spans="1:12">
      <c r="A441" s="14" t="str">
        <f t="shared" si="11"/>
        <v>0x000001C8</v>
      </c>
      <c r="B441" s="15">
        <f>SUM_HEX(C440:F440,B440,3)</f>
        <v>456</v>
      </c>
      <c r="C441" s="16" t="s">
        <v>23</v>
      </c>
      <c r="D441" s="16"/>
      <c r="E441" s="16"/>
      <c r="F441" s="16"/>
      <c r="G441" s="46" t="s">
        <v>157</v>
      </c>
      <c r="H441" s="46" t="s">
        <v>326</v>
      </c>
      <c r="I441" s="24" t="s">
        <v>363</v>
      </c>
      <c r="J441" s="18"/>
      <c r="K441" s="18"/>
      <c r="L441" s="25" t="s">
        <v>272</v>
      </c>
    </row>
    <row r="442" customHeight="1" spans="1:12">
      <c r="A442" s="14" t="str">
        <f t="shared" si="11"/>
        <v>0x000001CC</v>
      </c>
      <c r="B442" s="15">
        <f>SUM_HEX(C441:F441,B441,3)</f>
        <v>460</v>
      </c>
      <c r="C442" s="16" t="s">
        <v>364</v>
      </c>
      <c r="D442" s="16"/>
      <c r="E442" s="16"/>
      <c r="F442" s="16"/>
      <c r="G442" s="47"/>
      <c r="H442" s="47"/>
      <c r="I442" s="18"/>
      <c r="J442" s="18"/>
      <c r="K442" s="18"/>
      <c r="L442" s="25"/>
    </row>
    <row r="443" customHeight="1" spans="1:12">
      <c r="A443" s="14" t="str">
        <f t="shared" si="11"/>
        <v>0x000001D0</v>
      </c>
      <c r="B443" s="15">
        <f>SUM_HEX(C442:F442,B442,3)</f>
        <v>464</v>
      </c>
      <c r="C443" s="16" t="s">
        <v>330</v>
      </c>
      <c r="D443" s="16" t="s">
        <v>330</v>
      </c>
      <c r="E443" s="16" t="s">
        <v>330</v>
      </c>
      <c r="F443" s="16"/>
      <c r="G443" s="47"/>
      <c r="H443" s="47"/>
      <c r="I443" s="18"/>
      <c r="J443" s="18"/>
      <c r="K443" s="18"/>
      <c r="L443" s="25"/>
    </row>
    <row r="444" customHeight="1" spans="1:12">
      <c r="A444" s="14" t="str">
        <f t="shared" si="11"/>
        <v>0x000001DC</v>
      </c>
      <c r="B444" s="15">
        <f>SUM_HEX(C443:F443,B443,3)</f>
        <v>476</v>
      </c>
      <c r="C444" s="16" t="s">
        <v>23</v>
      </c>
      <c r="D444" s="16" t="s">
        <v>23</v>
      </c>
      <c r="E444" s="16" t="s">
        <v>23</v>
      </c>
      <c r="F444" s="16"/>
      <c r="G444" s="47"/>
      <c r="H444" s="47"/>
      <c r="I444" s="18"/>
      <c r="J444" s="18"/>
      <c r="K444" s="18"/>
      <c r="L444" s="25"/>
    </row>
    <row r="445" customHeight="1" spans="1:12">
      <c r="A445" s="14" t="str">
        <f t="shared" si="11"/>
        <v>0x000001E8</v>
      </c>
      <c r="B445" s="15">
        <f>SUM_HEX(C444:F444,B444,3)</f>
        <v>488</v>
      </c>
      <c r="C445" s="16" t="s">
        <v>274</v>
      </c>
      <c r="D445" s="16"/>
      <c r="E445" s="16"/>
      <c r="F445" s="16"/>
      <c r="G445" s="48"/>
      <c r="H445" s="48"/>
      <c r="I445" s="18"/>
      <c r="J445" s="18"/>
      <c r="K445" s="18"/>
      <c r="L445" s="25"/>
    </row>
    <row r="446" customHeight="1" spans="1:12">
      <c r="A446" s="14" t="str">
        <f t="shared" si="11"/>
        <v>0x000001EC</v>
      </c>
      <c r="B446" s="15">
        <f>SUM_HEX(C445:F445,B445,3)</f>
        <v>492</v>
      </c>
      <c r="C446" s="16" t="s">
        <v>23</v>
      </c>
      <c r="D446" s="16"/>
      <c r="E446" s="16"/>
      <c r="F446" s="16"/>
      <c r="G446" s="46" t="s">
        <v>157</v>
      </c>
      <c r="H446" s="46" t="s">
        <v>212</v>
      </c>
      <c r="I446" s="18" t="s">
        <v>365</v>
      </c>
      <c r="J446" s="18"/>
      <c r="K446" s="18"/>
      <c r="L446" s="25" t="s">
        <v>272</v>
      </c>
    </row>
    <row r="447" customHeight="1" spans="1:12">
      <c r="A447" s="14" t="str">
        <f t="shared" si="11"/>
        <v>0x000001F0</v>
      </c>
      <c r="B447" s="15">
        <f>SUM_HEX(C446:F446,B446,3)</f>
        <v>496</v>
      </c>
      <c r="C447" s="16" t="s">
        <v>366</v>
      </c>
      <c r="D447" s="16"/>
      <c r="E447" s="16"/>
      <c r="F447" s="16"/>
      <c r="G447" s="47"/>
      <c r="H447" s="47"/>
      <c r="I447" s="18"/>
      <c r="J447" s="18"/>
      <c r="K447" s="18"/>
      <c r="L447" s="25"/>
    </row>
    <row r="448" customHeight="1" spans="1:12">
      <c r="A448" s="14" t="str">
        <f t="shared" si="11"/>
        <v>0x000001F4</v>
      </c>
      <c r="B448" s="15">
        <f>SUM_HEX(C447:F447,B447,3)</f>
        <v>500</v>
      </c>
      <c r="C448" s="16" t="s">
        <v>330</v>
      </c>
      <c r="D448" s="16" t="s">
        <v>23</v>
      </c>
      <c r="E448" s="16"/>
      <c r="F448" s="16"/>
      <c r="G448" s="47"/>
      <c r="H448" s="47"/>
      <c r="I448" s="18"/>
      <c r="J448" s="18"/>
      <c r="K448" s="18"/>
      <c r="L448" s="25"/>
    </row>
    <row r="449" customHeight="1" spans="1:12">
      <c r="A449" s="14" t="str">
        <f t="shared" si="11"/>
        <v>0x000001FC</v>
      </c>
      <c r="B449" s="15">
        <f>SUM_HEX(C448:F448,B448,3)</f>
        <v>508</v>
      </c>
      <c r="C449" s="16" t="s">
        <v>274</v>
      </c>
      <c r="D449" s="16"/>
      <c r="E449" s="16"/>
      <c r="F449" s="16"/>
      <c r="G449" s="48"/>
      <c r="H449" s="48"/>
      <c r="I449" s="18"/>
      <c r="J449" s="18"/>
      <c r="K449" s="18"/>
      <c r="L449" s="25"/>
    </row>
    <row r="450" customHeight="1" spans="1:12">
      <c r="A450" s="14" t="str">
        <f t="shared" si="11"/>
        <v>0x00000200</v>
      </c>
      <c r="B450" s="15">
        <f>SUM_HEX(C449:F449,B449,3)</f>
        <v>512</v>
      </c>
      <c r="C450" s="16" t="s">
        <v>23</v>
      </c>
      <c r="D450" s="16"/>
      <c r="E450" s="16"/>
      <c r="F450" s="16"/>
      <c r="G450" s="46" t="s">
        <v>157</v>
      </c>
      <c r="H450" s="46" t="s">
        <v>212</v>
      </c>
      <c r="I450" s="18" t="s">
        <v>367</v>
      </c>
      <c r="J450" s="18"/>
      <c r="K450" s="18"/>
      <c r="L450" s="25" t="s">
        <v>272</v>
      </c>
    </row>
    <row r="451" customHeight="1" spans="1:12">
      <c r="A451" s="14" t="str">
        <f t="shared" si="11"/>
        <v>0x00000204</v>
      </c>
      <c r="B451" s="15">
        <f>SUM_HEX(C450:F450,B450,3)</f>
        <v>516</v>
      </c>
      <c r="C451" s="16" t="s">
        <v>368</v>
      </c>
      <c r="D451" s="16"/>
      <c r="E451" s="16"/>
      <c r="F451" s="16"/>
      <c r="G451" s="47"/>
      <c r="H451" s="47"/>
      <c r="I451" s="18"/>
      <c r="J451" s="18"/>
      <c r="K451" s="18"/>
      <c r="L451" s="25"/>
    </row>
    <row r="452" customHeight="1" spans="1:12">
      <c r="A452" s="14" t="str">
        <f t="shared" si="11"/>
        <v>0x00000208</v>
      </c>
      <c r="B452" s="15">
        <f>SUM_HEX(C451:F451,B451,3)</f>
        <v>520</v>
      </c>
      <c r="C452" s="16" t="s">
        <v>330</v>
      </c>
      <c r="D452" s="16" t="s">
        <v>23</v>
      </c>
      <c r="E452" s="16"/>
      <c r="F452" s="16"/>
      <c r="G452" s="47"/>
      <c r="H452" s="47"/>
      <c r="I452" s="18"/>
      <c r="J452" s="18"/>
      <c r="K452" s="18"/>
      <c r="L452" s="25"/>
    </row>
    <row r="453" customHeight="1" spans="1:12">
      <c r="A453" s="14" t="str">
        <f t="shared" si="11"/>
        <v>0x00000210</v>
      </c>
      <c r="B453" s="15">
        <f>SUM_HEX(C452:F452,B452,3)</f>
        <v>528</v>
      </c>
      <c r="C453" s="16" t="s">
        <v>274</v>
      </c>
      <c r="D453" s="16"/>
      <c r="E453" s="16"/>
      <c r="F453" s="16"/>
      <c r="G453" s="48"/>
      <c r="H453" s="48"/>
      <c r="I453" s="18"/>
      <c r="J453" s="18"/>
      <c r="K453" s="18"/>
      <c r="L453" s="25"/>
    </row>
    <row r="454" customHeight="1" spans="1:12">
      <c r="A454" s="14" t="str">
        <f t="shared" si="11"/>
        <v>0x00000214</v>
      </c>
      <c r="B454" s="15">
        <f>SUM_HEX(C453:F453,B453,3)</f>
        <v>532</v>
      </c>
      <c r="C454" s="51" t="s">
        <v>23</v>
      </c>
      <c r="D454" s="51" t="s">
        <v>23</v>
      </c>
      <c r="E454" s="51" t="s">
        <v>23</v>
      </c>
      <c r="F454" s="51"/>
      <c r="G454" s="52" t="s">
        <v>24</v>
      </c>
      <c r="H454" s="52" t="s">
        <v>536</v>
      </c>
      <c r="I454" s="57" t="s">
        <v>370</v>
      </c>
      <c r="J454" s="52"/>
      <c r="K454" s="52"/>
      <c r="L454" s="51"/>
    </row>
    <row r="455" customHeight="1" spans="1:12">
      <c r="A455" s="14" t="str">
        <f t="shared" si="11"/>
        <v>0x00000214</v>
      </c>
      <c r="B455" s="15">
        <f>SUM_HEX(C454:F454,B454,3)</f>
        <v>532</v>
      </c>
      <c r="C455" s="16" t="s">
        <v>23</v>
      </c>
      <c r="D455" s="16"/>
      <c r="E455" s="16"/>
      <c r="F455" s="16"/>
      <c r="G455" s="18" t="s">
        <v>15</v>
      </c>
      <c r="H455" s="18"/>
      <c r="I455" s="24" t="s">
        <v>371</v>
      </c>
      <c r="J455" s="18"/>
      <c r="K455" s="18" t="s">
        <v>372</v>
      </c>
      <c r="L455" s="25"/>
    </row>
    <row r="456" customHeight="1" spans="1:12">
      <c r="A456" s="14" t="str">
        <f t="shared" si="11"/>
        <v>0x00000218</v>
      </c>
      <c r="B456" s="15">
        <f>SUM_HEX(C455:F455,B455,3)</f>
        <v>536</v>
      </c>
      <c r="C456" s="16" t="s">
        <v>23</v>
      </c>
      <c r="D456" s="16"/>
      <c r="E456" s="16"/>
      <c r="F456" s="16"/>
      <c r="G456" s="18" t="s">
        <v>15</v>
      </c>
      <c r="H456" s="18"/>
      <c r="I456" s="24" t="s">
        <v>373</v>
      </c>
      <c r="J456" s="18"/>
      <c r="K456" s="18" t="s">
        <v>318</v>
      </c>
      <c r="L456" s="25" t="s">
        <v>374</v>
      </c>
    </row>
    <row r="457" customHeight="1" spans="1:12">
      <c r="A457" s="14" t="str">
        <f t="shared" si="11"/>
        <v>0x0000021C</v>
      </c>
      <c r="B457" s="15">
        <f>SUM_HEX(C456:F456,B456,3)</f>
        <v>540</v>
      </c>
      <c r="C457" s="16" t="s">
        <v>23</v>
      </c>
      <c r="D457" s="16"/>
      <c r="E457" s="16"/>
      <c r="F457" s="16"/>
      <c r="G457" s="46" t="s">
        <v>157</v>
      </c>
      <c r="H457" s="46" t="s">
        <v>326</v>
      </c>
      <c r="I457" s="24" t="s">
        <v>375</v>
      </c>
      <c r="J457" s="18"/>
      <c r="K457" s="18" t="s">
        <v>328</v>
      </c>
      <c r="L457" s="25" t="s">
        <v>272</v>
      </c>
    </row>
    <row r="458" customHeight="1" spans="1:12">
      <c r="A458" s="14" t="str">
        <f t="shared" si="11"/>
        <v>0x00000220</v>
      </c>
      <c r="B458" s="15">
        <f>SUM_HEX(C457:F457,B457,3)</f>
        <v>544</v>
      </c>
      <c r="C458" s="16" t="s">
        <v>376</v>
      </c>
      <c r="D458" s="16"/>
      <c r="E458" s="16"/>
      <c r="F458" s="16"/>
      <c r="G458" s="47"/>
      <c r="H458" s="47"/>
      <c r="I458" s="18"/>
      <c r="J458" s="18"/>
      <c r="K458" s="18"/>
      <c r="L458" s="25"/>
    </row>
    <row r="459" customHeight="1" spans="1:12">
      <c r="A459" s="14" t="str">
        <f t="shared" si="11"/>
        <v>0x00000224</v>
      </c>
      <c r="B459" s="15">
        <f>SUM_HEX(C458:F458,B458,3)</f>
        <v>548</v>
      </c>
      <c r="C459" s="16" t="s">
        <v>330</v>
      </c>
      <c r="D459" s="16" t="s">
        <v>330</v>
      </c>
      <c r="E459" s="16" t="s">
        <v>330</v>
      </c>
      <c r="F459" s="16"/>
      <c r="G459" s="47"/>
      <c r="H459" s="47"/>
      <c r="I459" s="18"/>
      <c r="J459" s="18"/>
      <c r="K459" s="18"/>
      <c r="L459" s="25"/>
    </row>
    <row r="460" customHeight="1" spans="1:12">
      <c r="A460" s="14" t="str">
        <f t="shared" si="11"/>
        <v>0x00000230</v>
      </c>
      <c r="B460" s="15">
        <f>SUM_HEX(C459:F459,B459,3)</f>
        <v>560</v>
      </c>
      <c r="C460" s="16" t="s">
        <v>23</v>
      </c>
      <c r="D460" s="16" t="s">
        <v>23</v>
      </c>
      <c r="E460" s="16" t="s">
        <v>23</v>
      </c>
      <c r="F460" s="16"/>
      <c r="G460" s="47"/>
      <c r="H460" s="47"/>
      <c r="I460" s="18"/>
      <c r="J460" s="18"/>
      <c r="K460" s="18"/>
      <c r="L460" s="25"/>
    </row>
    <row r="461" customHeight="1" spans="1:12">
      <c r="A461" s="14" t="str">
        <f t="shared" si="11"/>
        <v>0x0000023C</v>
      </c>
      <c r="B461" s="15">
        <f>SUM_HEX(C460:F460,B460,3)</f>
        <v>572</v>
      </c>
      <c r="C461" s="16" t="s">
        <v>274</v>
      </c>
      <c r="D461" s="16"/>
      <c r="E461" s="16"/>
      <c r="F461" s="16"/>
      <c r="G461" s="48"/>
      <c r="H461" s="48"/>
      <c r="I461" s="18"/>
      <c r="J461" s="18"/>
      <c r="K461" s="18"/>
      <c r="L461" s="25"/>
    </row>
    <row r="462" customHeight="1" spans="1:12">
      <c r="A462" s="14" t="str">
        <f t="shared" si="11"/>
        <v>0x00000240</v>
      </c>
      <c r="B462" s="15">
        <f>SUM_HEX(C461:F461,B461,3)</f>
        <v>576</v>
      </c>
      <c r="C462" s="16" t="s">
        <v>23</v>
      </c>
      <c r="D462" s="16"/>
      <c r="E462" s="16"/>
      <c r="F462" s="16"/>
      <c r="G462" s="18" t="s">
        <v>15</v>
      </c>
      <c r="H462" s="18"/>
      <c r="I462" s="24" t="s">
        <v>377</v>
      </c>
      <c r="J462" s="18"/>
      <c r="K462" s="18" t="s">
        <v>318</v>
      </c>
      <c r="L462" s="25" t="s">
        <v>374</v>
      </c>
    </row>
    <row r="463" customHeight="1" spans="1:12">
      <c r="A463" s="14" t="str">
        <f t="shared" si="11"/>
        <v>0x00000244</v>
      </c>
      <c r="B463" s="15">
        <f>SUM_HEX(C462:F462,B462,3)</f>
        <v>580</v>
      </c>
      <c r="C463" s="16" t="s">
        <v>23</v>
      </c>
      <c r="D463" s="16"/>
      <c r="E463" s="16"/>
      <c r="F463" s="16"/>
      <c r="G463" s="46" t="s">
        <v>157</v>
      </c>
      <c r="H463" s="46" t="s">
        <v>326</v>
      </c>
      <c r="I463" s="24" t="s">
        <v>378</v>
      </c>
      <c r="J463" s="18"/>
      <c r="K463" s="18" t="s">
        <v>332</v>
      </c>
      <c r="L463" s="25" t="s">
        <v>333</v>
      </c>
    </row>
    <row r="464" customHeight="1" spans="1:12">
      <c r="A464" s="14" t="str">
        <f t="shared" si="11"/>
        <v>0x00000248</v>
      </c>
      <c r="B464" s="15">
        <f>SUM_HEX(C463:F463,B463,3)</f>
        <v>584</v>
      </c>
      <c r="C464" s="16" t="s">
        <v>379</v>
      </c>
      <c r="D464" s="16"/>
      <c r="E464" s="16"/>
      <c r="F464" s="16"/>
      <c r="G464" s="47"/>
      <c r="H464" s="47"/>
      <c r="I464" s="18"/>
      <c r="J464" s="18"/>
      <c r="K464" s="18"/>
      <c r="L464" s="25"/>
    </row>
    <row r="465" customHeight="1" spans="1:12">
      <c r="A465" s="14" t="str">
        <f t="shared" si="11"/>
        <v>0x0000024C</v>
      </c>
      <c r="B465" s="15">
        <f>SUM_HEX(C464:F464,B464,3)</f>
        <v>588</v>
      </c>
      <c r="C465" s="16" t="s">
        <v>23</v>
      </c>
      <c r="D465" s="16" t="s">
        <v>23</v>
      </c>
      <c r="E465" s="16" t="s">
        <v>23</v>
      </c>
      <c r="F465" s="16"/>
      <c r="G465" s="47"/>
      <c r="H465" s="47"/>
      <c r="I465" s="18"/>
      <c r="J465" s="18"/>
      <c r="K465" s="18"/>
      <c r="L465" s="25"/>
    </row>
    <row r="466" customHeight="1" spans="1:12">
      <c r="A466" s="14" t="str">
        <f t="shared" si="11"/>
        <v>0x00000258</v>
      </c>
      <c r="B466" s="15">
        <f>SUM_HEX(C465:F465,B465,3)</f>
        <v>600</v>
      </c>
      <c r="C466" s="16" t="s">
        <v>23</v>
      </c>
      <c r="D466" s="16" t="s">
        <v>23</v>
      </c>
      <c r="E466" s="16" t="s">
        <v>23</v>
      </c>
      <c r="F466" s="16"/>
      <c r="G466" s="47"/>
      <c r="H466" s="47"/>
      <c r="I466" s="18"/>
      <c r="J466" s="18"/>
      <c r="K466" s="18"/>
      <c r="L466" s="25"/>
    </row>
    <row r="467" customHeight="1" spans="1:12">
      <c r="A467" s="14" t="str">
        <f t="shared" si="11"/>
        <v>0x00000264</v>
      </c>
      <c r="B467" s="15">
        <f>SUM_HEX(C466:F466,B466,3)</f>
        <v>612</v>
      </c>
      <c r="C467" s="16" t="s">
        <v>274</v>
      </c>
      <c r="D467" s="16"/>
      <c r="E467" s="16"/>
      <c r="F467" s="16"/>
      <c r="G467" s="48"/>
      <c r="H467" s="48"/>
      <c r="I467" s="18"/>
      <c r="J467" s="18"/>
      <c r="K467" s="18"/>
      <c r="L467" s="25"/>
    </row>
    <row r="468" customHeight="1" spans="1:12">
      <c r="A468" s="14" t="str">
        <f t="shared" si="11"/>
        <v>0x00000268</v>
      </c>
      <c r="B468" s="15">
        <f>SUM_HEX(C467:F467,B467,3)</f>
        <v>616</v>
      </c>
      <c r="C468" s="16" t="s">
        <v>23</v>
      </c>
      <c r="D468" s="16"/>
      <c r="E468" s="16"/>
      <c r="F468" s="16"/>
      <c r="G468" s="18" t="s">
        <v>15</v>
      </c>
      <c r="H468" s="18"/>
      <c r="I468" s="24" t="s">
        <v>380</v>
      </c>
      <c r="J468" s="18"/>
      <c r="K468" s="18" t="s">
        <v>318</v>
      </c>
      <c r="L468" s="25" t="s">
        <v>374</v>
      </c>
    </row>
    <row r="469" customHeight="1" spans="1:12">
      <c r="A469" s="14" t="str">
        <f t="shared" si="11"/>
        <v>0x0000026C</v>
      </c>
      <c r="B469" s="15">
        <f>SUM_HEX(C468:F468,B468,3)</f>
        <v>620</v>
      </c>
      <c r="C469" s="16" t="s">
        <v>23</v>
      </c>
      <c r="D469" s="16"/>
      <c r="E469" s="16"/>
      <c r="F469" s="16"/>
      <c r="G469" s="46" t="s">
        <v>157</v>
      </c>
      <c r="H469" s="46" t="s">
        <v>335</v>
      </c>
      <c r="I469" s="24" t="s">
        <v>381</v>
      </c>
      <c r="J469" s="18"/>
      <c r="K469" s="18" t="s">
        <v>337</v>
      </c>
      <c r="L469" s="25"/>
    </row>
    <row r="470" customHeight="1" spans="1:12">
      <c r="A470" s="14" t="str">
        <f t="shared" si="11"/>
        <v>0x00000270</v>
      </c>
      <c r="B470" s="15">
        <f>SUM_HEX(C469:F469,B469,3)</f>
        <v>624</v>
      </c>
      <c r="C470" s="16" t="s">
        <v>382</v>
      </c>
      <c r="D470" s="16"/>
      <c r="E470" s="16"/>
      <c r="F470" s="16"/>
      <c r="G470" s="47"/>
      <c r="H470" s="47"/>
      <c r="I470" s="18"/>
      <c r="J470" s="18"/>
      <c r="K470" s="18"/>
      <c r="L470" s="25"/>
    </row>
    <row r="471" customHeight="1" spans="1:12">
      <c r="A471" s="14" t="str">
        <f t="shared" si="11"/>
        <v>0x00000274</v>
      </c>
      <c r="B471" s="15">
        <f>SUM_HEX(C470:F470,B470,3)</f>
        <v>628</v>
      </c>
      <c r="C471" s="16" t="s">
        <v>274</v>
      </c>
      <c r="D471" s="16" t="s">
        <v>23</v>
      </c>
      <c r="E471" s="16"/>
      <c r="F471" s="16"/>
      <c r="G471" s="47"/>
      <c r="H471" s="47"/>
      <c r="I471" s="18"/>
      <c r="J471" s="18"/>
      <c r="K471" s="18"/>
      <c r="L471" s="25"/>
    </row>
    <row r="472" customHeight="1" spans="1:12">
      <c r="A472" s="14" t="str">
        <f t="shared" si="11"/>
        <v>0x0000027C</v>
      </c>
      <c r="B472" s="15">
        <f>SUM_HEX(C471:F471,B471,3)</f>
        <v>636</v>
      </c>
      <c r="C472" s="16" t="s">
        <v>274</v>
      </c>
      <c r="D472" s="16"/>
      <c r="E472" s="16"/>
      <c r="F472" s="16"/>
      <c r="G472" s="48"/>
      <c r="H472" s="48"/>
      <c r="I472" s="18"/>
      <c r="J472" s="18"/>
      <c r="K472" s="18"/>
      <c r="L472" s="25"/>
    </row>
    <row r="473" customHeight="1" spans="1:12">
      <c r="A473" s="14" t="str">
        <f t="shared" si="11"/>
        <v>0x00000280</v>
      </c>
      <c r="B473" s="15">
        <f>SUM_HEX(C472:F472,B472,3)</f>
        <v>640</v>
      </c>
      <c r="C473" s="16" t="s">
        <v>23</v>
      </c>
      <c r="D473" s="16"/>
      <c r="E473" s="16"/>
      <c r="F473" s="16"/>
      <c r="G473" s="46" t="s">
        <v>157</v>
      </c>
      <c r="H473" s="46" t="s">
        <v>335</v>
      </c>
      <c r="I473" s="24" t="s">
        <v>383</v>
      </c>
      <c r="J473" s="18"/>
      <c r="K473" s="18" t="s">
        <v>337</v>
      </c>
      <c r="L473" s="25"/>
    </row>
    <row r="474" customHeight="1" spans="1:12">
      <c r="A474" s="14" t="str">
        <f t="shared" si="11"/>
        <v>0x00000284</v>
      </c>
      <c r="B474" s="15">
        <f>SUM_HEX(C473:F473,B473,3)</f>
        <v>644</v>
      </c>
      <c r="C474" s="16" t="s">
        <v>384</v>
      </c>
      <c r="D474" s="16"/>
      <c r="E474" s="16"/>
      <c r="F474" s="16"/>
      <c r="G474" s="47"/>
      <c r="H474" s="47"/>
      <c r="I474" s="18"/>
      <c r="J474" s="18"/>
      <c r="K474" s="18"/>
      <c r="L474" s="25"/>
    </row>
    <row r="475" customHeight="1" spans="1:12">
      <c r="A475" s="14" t="str">
        <f t="shared" si="11"/>
        <v>0x00000288</v>
      </c>
      <c r="B475" s="15">
        <f>SUM_HEX(C474:F474,B474,3)</f>
        <v>648</v>
      </c>
      <c r="C475" s="16" t="s">
        <v>274</v>
      </c>
      <c r="D475" s="16" t="s">
        <v>23</v>
      </c>
      <c r="E475" s="16"/>
      <c r="F475" s="16"/>
      <c r="G475" s="47"/>
      <c r="H475" s="47"/>
      <c r="I475" s="18"/>
      <c r="J475" s="18"/>
      <c r="K475" s="18"/>
      <c r="L475" s="25"/>
    </row>
    <row r="476" customHeight="1" spans="1:12">
      <c r="A476" s="14" t="str">
        <f t="shared" si="11"/>
        <v>0x00000290</v>
      </c>
      <c r="B476" s="15">
        <f>SUM_HEX(C475:F475,B475,3)</f>
        <v>656</v>
      </c>
      <c r="C476" s="16" t="s">
        <v>274</v>
      </c>
      <c r="D476" s="16"/>
      <c r="E476" s="16"/>
      <c r="F476" s="16"/>
      <c r="G476" s="48"/>
      <c r="H476" s="48"/>
      <c r="I476" s="18"/>
      <c r="J476" s="18"/>
      <c r="K476" s="18"/>
      <c r="L476" s="25"/>
    </row>
    <row r="477" customHeight="1" spans="1:12">
      <c r="A477" s="14" t="str">
        <f t="shared" si="11"/>
        <v>0x00000294</v>
      </c>
      <c r="B477" s="15">
        <f>SUM_HEX(C476:F476,B476,3)</f>
        <v>660</v>
      </c>
      <c r="C477" s="16" t="s">
        <v>23</v>
      </c>
      <c r="D477" s="16"/>
      <c r="E477" s="16"/>
      <c r="F477" s="16"/>
      <c r="G477" s="46" t="s">
        <v>157</v>
      </c>
      <c r="H477" s="46" t="s">
        <v>335</v>
      </c>
      <c r="I477" s="24" t="s">
        <v>385</v>
      </c>
      <c r="J477" s="18"/>
      <c r="K477" s="18" t="s">
        <v>337</v>
      </c>
      <c r="L477" s="25"/>
    </row>
    <row r="478" customHeight="1" spans="1:12">
      <c r="A478" s="14" t="str">
        <f t="shared" si="11"/>
        <v>0x00000298</v>
      </c>
      <c r="B478" s="15">
        <f>SUM_HEX(C477:F477,B477,3)</f>
        <v>664</v>
      </c>
      <c r="C478" s="16" t="s">
        <v>386</v>
      </c>
      <c r="D478" s="16"/>
      <c r="E478" s="16"/>
      <c r="F478" s="16"/>
      <c r="G478" s="47"/>
      <c r="H478" s="47"/>
      <c r="I478" s="18"/>
      <c r="J478" s="18"/>
      <c r="K478" s="18"/>
      <c r="L478" s="25"/>
    </row>
    <row r="479" customHeight="1" spans="1:12">
      <c r="A479" s="14" t="str">
        <f t="shared" si="11"/>
        <v>0x0000029C</v>
      </c>
      <c r="B479" s="15">
        <f>SUM_HEX(C478:F478,B478,3)</f>
        <v>668</v>
      </c>
      <c r="C479" s="16" t="s">
        <v>274</v>
      </c>
      <c r="D479" s="16" t="s">
        <v>23</v>
      </c>
      <c r="E479" s="16"/>
      <c r="F479" s="16"/>
      <c r="G479" s="47"/>
      <c r="H479" s="47"/>
      <c r="I479" s="18"/>
      <c r="J479" s="18"/>
      <c r="K479" s="18"/>
      <c r="L479" s="25"/>
    </row>
    <row r="480" customHeight="1" spans="1:12">
      <c r="A480" s="14" t="str">
        <f t="shared" si="11"/>
        <v>0x000002A4</v>
      </c>
      <c r="B480" s="15">
        <f>SUM_HEX(C479:F479,B479,3)</f>
        <v>676</v>
      </c>
      <c r="C480" s="16" t="s">
        <v>274</v>
      </c>
      <c r="D480" s="16"/>
      <c r="E480" s="16"/>
      <c r="F480" s="16"/>
      <c r="G480" s="48"/>
      <c r="H480" s="48"/>
      <c r="I480" s="18"/>
      <c r="J480" s="18"/>
      <c r="K480" s="18"/>
      <c r="L480" s="25"/>
    </row>
    <row r="481" customHeight="1" spans="1:12">
      <c r="A481" s="14" t="str">
        <f t="shared" si="11"/>
        <v>0x000002A8</v>
      </c>
      <c r="B481" s="15">
        <f>SUM_HEX(C480:F480,B480,3)</f>
        <v>680</v>
      </c>
      <c r="C481" s="16" t="s">
        <v>23</v>
      </c>
      <c r="D481" s="16"/>
      <c r="E481" s="16"/>
      <c r="F481" s="16"/>
      <c r="G481" s="18" t="s">
        <v>15</v>
      </c>
      <c r="H481" s="18"/>
      <c r="I481" s="24" t="s">
        <v>387</v>
      </c>
      <c r="J481" s="18"/>
      <c r="K481" s="18" t="s">
        <v>318</v>
      </c>
      <c r="L481" s="25" t="s">
        <v>374</v>
      </c>
    </row>
    <row r="482" customHeight="1" spans="1:12">
      <c r="A482" s="14" t="str">
        <f t="shared" ref="A482:A545" si="12">"0x"&amp;DEC2HEX(B482,8)</f>
        <v>0x000002AC</v>
      </c>
      <c r="B482" s="15">
        <f>SUM_HEX(C481:F481,B481,3)</f>
        <v>684</v>
      </c>
      <c r="C482" s="16" t="s">
        <v>23</v>
      </c>
      <c r="D482" s="16"/>
      <c r="E482" s="16"/>
      <c r="F482" s="16"/>
      <c r="G482" s="46" t="s">
        <v>157</v>
      </c>
      <c r="H482" s="46" t="s">
        <v>388</v>
      </c>
      <c r="I482" s="18" t="s">
        <v>389</v>
      </c>
      <c r="J482" s="18"/>
      <c r="K482" s="18"/>
      <c r="L482" s="25"/>
    </row>
    <row r="483" customHeight="1" spans="1:12">
      <c r="A483" s="14" t="str">
        <f t="shared" si="12"/>
        <v>0x000002B0</v>
      </c>
      <c r="B483" s="15">
        <f>SUM_HEX(C482:F482,B482,3)</f>
        <v>688</v>
      </c>
      <c r="C483" s="16" t="s">
        <v>390</v>
      </c>
      <c r="D483" s="16"/>
      <c r="E483" s="16"/>
      <c r="F483" s="16"/>
      <c r="G483" s="47"/>
      <c r="H483" s="47"/>
      <c r="I483" s="18"/>
      <c r="J483" s="18"/>
      <c r="K483" s="18"/>
      <c r="L483" s="25"/>
    </row>
    <row r="484" customHeight="1" spans="1:12">
      <c r="A484" s="14" t="str">
        <f t="shared" si="12"/>
        <v>0x000002B4</v>
      </c>
      <c r="B484" s="15">
        <f>SUM_HEX(C483:F483,B483,3)</f>
        <v>692</v>
      </c>
      <c r="C484" s="16" t="s">
        <v>391</v>
      </c>
      <c r="D484" s="16" t="s">
        <v>391</v>
      </c>
      <c r="E484" s="16"/>
      <c r="F484" s="16"/>
      <c r="G484" s="47"/>
      <c r="H484" s="47"/>
      <c r="I484" s="18"/>
      <c r="J484" s="18"/>
      <c r="K484" s="18"/>
      <c r="L484" s="25"/>
    </row>
    <row r="485" customHeight="1" spans="1:12">
      <c r="A485" s="14" t="str">
        <f t="shared" si="12"/>
        <v>0x000002B8</v>
      </c>
      <c r="B485" s="15">
        <f>SUM_HEX(C484:F484,B484,3)</f>
        <v>696</v>
      </c>
      <c r="C485" s="16" t="s">
        <v>274</v>
      </c>
      <c r="D485" s="16"/>
      <c r="E485" s="16"/>
      <c r="F485" s="16"/>
      <c r="G485" s="48"/>
      <c r="H485" s="48"/>
      <c r="I485" s="18"/>
      <c r="J485" s="18"/>
      <c r="K485" s="18"/>
      <c r="L485" s="25"/>
    </row>
    <row r="486" customHeight="1" spans="1:12">
      <c r="A486" s="14" t="str">
        <f t="shared" si="12"/>
        <v>0x000002BC</v>
      </c>
      <c r="B486" s="15">
        <f>SUM_HEX(C485:F485,B485,3)</f>
        <v>700</v>
      </c>
      <c r="C486" s="16" t="s">
        <v>392</v>
      </c>
      <c r="D486" s="16"/>
      <c r="E486" s="16"/>
      <c r="F486" s="16"/>
      <c r="G486" s="18" t="s">
        <v>393</v>
      </c>
      <c r="H486" s="18"/>
      <c r="I486" s="24" t="s">
        <v>394</v>
      </c>
      <c r="J486" s="18"/>
      <c r="K486" s="18"/>
      <c r="L486" s="25"/>
    </row>
    <row r="487" customHeight="1" spans="1:12">
      <c r="A487" s="14" t="str">
        <f t="shared" si="12"/>
        <v>0x000002BD</v>
      </c>
      <c r="B487" s="15">
        <f>SUM_HEX(C486:F486,B486,3)</f>
        <v>701</v>
      </c>
      <c r="C487" s="16" t="s">
        <v>392</v>
      </c>
      <c r="D487" s="16"/>
      <c r="E487" s="16"/>
      <c r="F487" s="16"/>
      <c r="G487" s="18" t="s">
        <v>393</v>
      </c>
      <c r="H487" s="18"/>
      <c r="I487" s="24" t="s">
        <v>395</v>
      </c>
      <c r="J487" s="18"/>
      <c r="K487" s="18"/>
      <c r="L487" s="25"/>
    </row>
    <row r="488" customHeight="1" spans="1:12">
      <c r="A488" s="14" t="str">
        <f t="shared" si="12"/>
        <v>0x000002BE</v>
      </c>
      <c r="B488" s="15">
        <f>SUM_HEX(C487:F487,B487,3)</f>
        <v>702</v>
      </c>
      <c r="C488" s="16" t="s">
        <v>392</v>
      </c>
      <c r="D488" s="16"/>
      <c r="E488" s="16"/>
      <c r="F488" s="16"/>
      <c r="G488" s="18" t="s">
        <v>393</v>
      </c>
      <c r="H488" s="18"/>
      <c r="I488" s="24" t="s">
        <v>396</v>
      </c>
      <c r="J488" s="18"/>
      <c r="K488" s="18"/>
      <c r="L488" s="25"/>
    </row>
    <row r="489" customHeight="1" spans="1:12">
      <c r="A489" s="14" t="str">
        <f t="shared" si="12"/>
        <v>0x000002BF</v>
      </c>
      <c r="B489" s="15">
        <f>SUM_HEX(C488:F488,B488,3)</f>
        <v>703</v>
      </c>
      <c r="C489" s="16" t="s">
        <v>392</v>
      </c>
      <c r="D489" s="16"/>
      <c r="E489" s="16"/>
      <c r="F489" s="16"/>
      <c r="G489" s="17"/>
      <c r="H489" s="17"/>
      <c r="I489" s="22"/>
      <c r="J489" s="17"/>
      <c r="K489" s="17"/>
      <c r="L489" s="23"/>
    </row>
    <row r="490" customHeight="1" spans="1:12">
      <c r="A490" s="14" t="str">
        <f t="shared" si="12"/>
        <v>0x000002C0</v>
      </c>
      <c r="B490" s="15">
        <f>SUM_HEX(C489:F489,B489,3)</f>
        <v>704</v>
      </c>
      <c r="C490" s="16" t="s">
        <v>316</v>
      </c>
      <c r="D490" s="16"/>
      <c r="E490" s="16"/>
      <c r="F490" s="16"/>
      <c r="G490" s="18" t="s">
        <v>212</v>
      </c>
      <c r="H490" s="18"/>
      <c r="I490" s="24" t="s">
        <v>397</v>
      </c>
      <c r="J490" s="18"/>
      <c r="K490" s="18"/>
      <c r="L490" s="25"/>
    </row>
    <row r="491" customHeight="1" spans="1:12">
      <c r="A491" s="14" t="str">
        <f t="shared" si="12"/>
        <v>0x000002C4</v>
      </c>
      <c r="B491" s="15">
        <f>SUM_HEX(C490:F490,B490,3)</f>
        <v>708</v>
      </c>
      <c r="C491" s="16" t="s">
        <v>391</v>
      </c>
      <c r="D491" s="16"/>
      <c r="E491" s="16"/>
      <c r="F491" s="16"/>
      <c r="G491" s="18" t="s">
        <v>398</v>
      </c>
      <c r="H491" s="18"/>
      <c r="I491" s="24" t="s">
        <v>399</v>
      </c>
      <c r="J491" s="18"/>
      <c r="K491" s="18"/>
      <c r="L491" s="25"/>
    </row>
    <row r="492" customHeight="1" spans="1:12">
      <c r="A492" s="14" t="str">
        <f t="shared" si="12"/>
        <v>0x000002C6</v>
      </c>
      <c r="B492" s="15">
        <f>SUM_HEX(C491:F491,B491,3)</f>
        <v>710</v>
      </c>
      <c r="C492" s="16" t="s">
        <v>391</v>
      </c>
      <c r="D492" s="16"/>
      <c r="E492" s="16"/>
      <c r="F492" s="16"/>
      <c r="G492" s="18" t="s">
        <v>398</v>
      </c>
      <c r="H492" s="18"/>
      <c r="I492" s="24" t="s">
        <v>400</v>
      </c>
      <c r="J492" s="18"/>
      <c r="K492" s="18"/>
      <c r="L492" s="25"/>
    </row>
    <row r="493" customHeight="1" spans="1:12">
      <c r="A493" s="14" t="str">
        <f t="shared" si="12"/>
        <v>0x000002C8</v>
      </c>
      <c r="B493" s="15">
        <f>SUM_HEX(C492:F492,B492,3)</f>
        <v>712</v>
      </c>
      <c r="C493" s="16" t="s">
        <v>401</v>
      </c>
      <c r="D493" s="16"/>
      <c r="E493" s="16"/>
      <c r="F493" s="16"/>
      <c r="G493" s="17"/>
      <c r="H493" s="17"/>
      <c r="I493" s="22"/>
      <c r="J493" s="17"/>
      <c r="K493" s="17"/>
      <c r="L493" s="23"/>
    </row>
    <row r="494" customHeight="1" spans="1:12">
      <c r="A494" s="14" t="str">
        <f t="shared" si="12"/>
        <v>0x000002CC</v>
      </c>
      <c r="B494" s="15">
        <f>SUM_HEX(C493:F493,B493,3)</f>
        <v>716</v>
      </c>
      <c r="C494" s="16" t="s">
        <v>401</v>
      </c>
      <c r="D494" s="16"/>
      <c r="E494" s="16"/>
      <c r="F494" s="16"/>
      <c r="G494" s="17"/>
      <c r="H494" s="17"/>
      <c r="I494" s="22"/>
      <c r="J494" s="17"/>
      <c r="K494" s="17"/>
      <c r="L494" s="23"/>
    </row>
    <row r="495" customHeight="1" spans="1:12">
      <c r="A495" s="14" t="str">
        <f t="shared" si="12"/>
        <v>0x000002D0</v>
      </c>
      <c r="B495" s="15">
        <f>SUM_HEX(C494:F494,B494,3)</f>
        <v>720</v>
      </c>
      <c r="C495" s="16" t="s">
        <v>23</v>
      </c>
      <c r="D495" s="16"/>
      <c r="E495" s="16"/>
      <c r="F495" s="16"/>
      <c r="G495" s="18" t="s">
        <v>212</v>
      </c>
      <c r="H495" s="18"/>
      <c r="I495" s="24" t="s">
        <v>402</v>
      </c>
      <c r="J495" s="18"/>
      <c r="K495" s="18"/>
      <c r="L495" s="25" t="s">
        <v>272</v>
      </c>
    </row>
    <row r="496" customHeight="1" spans="1:12">
      <c r="A496" s="14" t="str">
        <f t="shared" si="12"/>
        <v>0x000002D4</v>
      </c>
      <c r="B496" s="15">
        <f>SUM_HEX(C495:F495,B495,3)</f>
        <v>724</v>
      </c>
      <c r="C496" s="16" t="s">
        <v>148</v>
      </c>
      <c r="D496" s="16"/>
      <c r="E496" s="16"/>
      <c r="F496" s="16"/>
      <c r="G496" s="18" t="s">
        <v>212</v>
      </c>
      <c r="H496" s="18"/>
      <c r="I496" s="24" t="s">
        <v>403</v>
      </c>
      <c r="J496" s="18"/>
      <c r="K496" s="18"/>
      <c r="L496" s="25" t="s">
        <v>272</v>
      </c>
    </row>
    <row r="497" customHeight="1" spans="1:12">
      <c r="A497" s="14" t="str">
        <f t="shared" si="12"/>
        <v>0x000002D8</v>
      </c>
      <c r="B497" s="15">
        <f>SUM_HEX(C496:F496,B496,3)</f>
        <v>728</v>
      </c>
      <c r="C497" s="16" t="s">
        <v>274</v>
      </c>
      <c r="D497" s="16"/>
      <c r="E497" s="16"/>
      <c r="F497" s="16"/>
      <c r="G497" s="18" t="s">
        <v>15</v>
      </c>
      <c r="H497" s="18"/>
      <c r="I497" s="24" t="s">
        <v>404</v>
      </c>
      <c r="J497" s="18"/>
      <c r="K497" s="18" t="s">
        <v>405</v>
      </c>
      <c r="L497" s="25" t="s">
        <v>280</v>
      </c>
    </row>
    <row r="498" customHeight="1" spans="1:12">
      <c r="A498" s="14" t="str">
        <f t="shared" si="12"/>
        <v>0x000002DC</v>
      </c>
      <c r="B498" s="15">
        <f>SUM_HEX(C497:F497,B497,3)</f>
        <v>732</v>
      </c>
      <c r="C498" s="16" t="s">
        <v>23</v>
      </c>
      <c r="D498" s="16"/>
      <c r="E498" s="16"/>
      <c r="F498" s="16"/>
      <c r="G498" s="18" t="s">
        <v>212</v>
      </c>
      <c r="H498" s="18"/>
      <c r="I498" s="24" t="s">
        <v>406</v>
      </c>
      <c r="J498" s="18"/>
      <c r="K498" s="18"/>
      <c r="L498" s="25"/>
    </row>
    <row r="499" customHeight="1" spans="1:12">
      <c r="A499" s="14" t="str">
        <f t="shared" si="12"/>
        <v>0x000002E0</v>
      </c>
      <c r="B499" s="15">
        <f>SUM_HEX(C498:F498,B498,3)</f>
        <v>736</v>
      </c>
      <c r="C499" s="16" t="s">
        <v>23</v>
      </c>
      <c r="D499" s="16"/>
      <c r="E499" s="16"/>
      <c r="F499" s="16"/>
      <c r="G499" s="18" t="s">
        <v>212</v>
      </c>
      <c r="H499" s="18"/>
      <c r="I499" s="24" t="s">
        <v>407</v>
      </c>
      <c r="J499" s="18"/>
      <c r="K499" s="18"/>
      <c r="L499" s="25"/>
    </row>
    <row r="500" customHeight="1" spans="1:12">
      <c r="A500" s="14" t="str">
        <f t="shared" si="12"/>
        <v>0x000002E4</v>
      </c>
      <c r="B500" s="15">
        <f>SUM_HEX(C499:F499,B499,3)</f>
        <v>740</v>
      </c>
      <c r="C500" s="16" t="s">
        <v>23</v>
      </c>
      <c r="D500" s="16"/>
      <c r="E500" s="16"/>
      <c r="F500" s="16"/>
      <c r="G500" s="18" t="s">
        <v>212</v>
      </c>
      <c r="H500" s="18"/>
      <c r="I500" s="24" t="s">
        <v>408</v>
      </c>
      <c r="J500" s="18"/>
      <c r="K500" s="18"/>
      <c r="L500" s="25" t="s">
        <v>272</v>
      </c>
    </row>
    <row r="501" customHeight="1" spans="1:12">
      <c r="A501" s="14" t="str">
        <f t="shared" si="12"/>
        <v>0x000002E8</v>
      </c>
      <c r="B501" s="15">
        <f>SUM_HEX(C500:F500,B500,3)</f>
        <v>744</v>
      </c>
      <c r="C501" s="16" t="s">
        <v>23</v>
      </c>
      <c r="D501" s="16"/>
      <c r="E501" s="16"/>
      <c r="F501" s="16"/>
      <c r="G501" s="18" t="s">
        <v>212</v>
      </c>
      <c r="H501" s="18"/>
      <c r="I501" s="24" t="s">
        <v>409</v>
      </c>
      <c r="J501" s="18"/>
      <c r="K501" s="18"/>
      <c r="L501" s="25" t="s">
        <v>272</v>
      </c>
    </row>
    <row r="502" customHeight="1" spans="1:12">
      <c r="A502" s="14" t="str">
        <f t="shared" si="12"/>
        <v>0x000002EC</v>
      </c>
      <c r="B502" s="15">
        <f>SUM_HEX(C501:F501,B501,3)</f>
        <v>748</v>
      </c>
      <c r="C502" s="16" t="s">
        <v>23</v>
      </c>
      <c r="D502" s="16"/>
      <c r="E502" s="16"/>
      <c r="F502" s="16"/>
      <c r="G502" s="18" t="s">
        <v>212</v>
      </c>
      <c r="H502" s="18"/>
      <c r="I502" s="24" t="s">
        <v>410</v>
      </c>
      <c r="J502" s="18"/>
      <c r="K502" s="18"/>
      <c r="L502" s="25"/>
    </row>
    <row r="503" customHeight="1" spans="1:12">
      <c r="A503" s="14" t="str">
        <f t="shared" si="12"/>
        <v>0x000002F0</v>
      </c>
      <c r="B503" s="15">
        <f>SUM_HEX(C502:F502,B502,3)</f>
        <v>752</v>
      </c>
      <c r="C503" s="16" t="s">
        <v>23</v>
      </c>
      <c r="D503" s="16"/>
      <c r="E503" s="16"/>
      <c r="F503" s="16"/>
      <c r="G503" s="18" t="s">
        <v>15</v>
      </c>
      <c r="H503" s="18"/>
      <c r="I503" s="24" t="s">
        <v>411</v>
      </c>
      <c r="J503" s="18"/>
      <c r="K503" s="18" t="s">
        <v>328</v>
      </c>
      <c r="L503" s="25"/>
    </row>
    <row r="504" customHeight="1" spans="1:12">
      <c r="A504" s="14" t="str">
        <f t="shared" si="12"/>
        <v>0x000002F4</v>
      </c>
      <c r="B504" s="15">
        <f>SUM_HEX(C503:F503,B503,3)</f>
        <v>756</v>
      </c>
      <c r="C504" s="16" t="s">
        <v>148</v>
      </c>
      <c r="D504" s="16"/>
      <c r="E504" s="16"/>
      <c r="F504" s="16"/>
      <c r="G504" s="18" t="s">
        <v>212</v>
      </c>
      <c r="H504" s="18"/>
      <c r="I504" s="24" t="s">
        <v>412</v>
      </c>
      <c r="J504" s="18"/>
      <c r="K504" s="18"/>
      <c r="L504" s="25"/>
    </row>
    <row r="505" customHeight="1" spans="1:12">
      <c r="A505" s="14" t="str">
        <f t="shared" si="12"/>
        <v>0x000002F8</v>
      </c>
      <c r="B505" s="15">
        <f>SUM_HEX(C504:F504,B504,3)</f>
        <v>760</v>
      </c>
      <c r="C505" s="16" t="s">
        <v>23</v>
      </c>
      <c r="D505" s="16" t="s">
        <v>23</v>
      </c>
      <c r="E505" s="16" t="s">
        <v>148</v>
      </c>
      <c r="F505" s="16"/>
      <c r="G505" s="18" t="s">
        <v>326</v>
      </c>
      <c r="H505" s="18"/>
      <c r="I505" s="24" t="s">
        <v>413</v>
      </c>
      <c r="J505" s="18"/>
      <c r="K505" s="18"/>
      <c r="L505" s="25"/>
    </row>
    <row r="506" customHeight="1" spans="1:12">
      <c r="A506" s="14" t="str">
        <f t="shared" si="12"/>
        <v>0x00000304</v>
      </c>
      <c r="B506" s="15">
        <f>SUM_HEX(C505:F505,B505,3)</f>
        <v>772</v>
      </c>
      <c r="C506" s="51" t="s">
        <v>148</v>
      </c>
      <c r="D506" s="51"/>
      <c r="E506" s="51"/>
      <c r="F506" s="51"/>
      <c r="G506" s="52" t="s">
        <v>212</v>
      </c>
      <c r="H506" s="52"/>
      <c r="I506" s="57" t="s">
        <v>414</v>
      </c>
      <c r="J506" s="52"/>
      <c r="K506" s="52"/>
      <c r="L506" s="51"/>
    </row>
    <row r="507" customHeight="1" spans="1:12">
      <c r="A507" s="14" t="str">
        <f t="shared" si="12"/>
        <v>0x00000304</v>
      </c>
      <c r="B507" s="15">
        <f>SUM_HEX(C506:F506,B506,3)</f>
        <v>772</v>
      </c>
      <c r="C507" s="16" t="s">
        <v>23</v>
      </c>
      <c r="D507" s="16"/>
      <c r="E507" s="16"/>
      <c r="F507" s="16"/>
      <c r="G507" s="18" t="s">
        <v>15</v>
      </c>
      <c r="H507" s="18"/>
      <c r="I507" s="24" t="s">
        <v>415</v>
      </c>
      <c r="J507" s="18"/>
      <c r="K507" s="18" t="s">
        <v>416</v>
      </c>
      <c r="L507" s="25"/>
    </row>
    <row r="508" customHeight="1" spans="1:12">
      <c r="A508" s="14" t="str">
        <f t="shared" si="12"/>
        <v>0x00000308</v>
      </c>
      <c r="B508" s="15">
        <f>SUM_HEX(C507:F507,B507,3)</f>
        <v>776</v>
      </c>
      <c r="C508" s="16" t="s">
        <v>23</v>
      </c>
      <c r="D508" s="16"/>
      <c r="E508" s="16"/>
      <c r="F508" s="16"/>
      <c r="G508" s="46" t="s">
        <v>157</v>
      </c>
      <c r="H508" s="46" t="s">
        <v>212</v>
      </c>
      <c r="I508" s="18" t="s">
        <v>417</v>
      </c>
      <c r="J508" s="18"/>
      <c r="K508" s="18"/>
      <c r="L508" s="25"/>
    </row>
    <row r="509" customHeight="1" spans="1:12">
      <c r="A509" s="14" t="str">
        <f t="shared" si="12"/>
        <v>0x0000030C</v>
      </c>
      <c r="B509" s="15">
        <f>SUM_HEX(C508:F508,B508,3)</f>
        <v>780</v>
      </c>
      <c r="C509" s="16" t="s">
        <v>418</v>
      </c>
      <c r="D509" s="16"/>
      <c r="E509" s="16"/>
      <c r="F509" s="16"/>
      <c r="G509" s="47"/>
      <c r="H509" s="47"/>
      <c r="I509" s="18"/>
      <c r="J509" s="18"/>
      <c r="K509" s="18"/>
      <c r="L509" s="25"/>
    </row>
    <row r="510" customHeight="1" spans="1:12">
      <c r="A510" s="14" t="str">
        <f t="shared" si="12"/>
        <v>0x00000310</v>
      </c>
      <c r="B510" s="15">
        <f>SUM_HEX(C509:F509,B509,3)</f>
        <v>784</v>
      </c>
      <c r="C510" s="16" t="s">
        <v>23</v>
      </c>
      <c r="D510" s="16" t="s">
        <v>23</v>
      </c>
      <c r="E510" s="16"/>
      <c r="F510" s="16"/>
      <c r="G510" s="47"/>
      <c r="H510" s="47"/>
      <c r="I510" s="18"/>
      <c r="J510" s="18"/>
      <c r="K510" s="18"/>
      <c r="L510" s="25"/>
    </row>
    <row r="511" customHeight="1" spans="1:12">
      <c r="A511" s="14" t="str">
        <f t="shared" si="12"/>
        <v>0x00000318</v>
      </c>
      <c r="B511" s="15">
        <f>SUM_HEX(C510:F510,B510,3)</f>
        <v>792</v>
      </c>
      <c r="C511" s="16" t="s">
        <v>274</v>
      </c>
      <c r="D511" s="16"/>
      <c r="E511" s="16"/>
      <c r="F511" s="16"/>
      <c r="G511" s="48"/>
      <c r="H511" s="48"/>
      <c r="I511" s="18"/>
      <c r="J511" s="18"/>
      <c r="K511" s="18"/>
      <c r="L511" s="25"/>
    </row>
    <row r="512" customHeight="1" spans="1:12">
      <c r="A512" s="14" t="str">
        <f t="shared" si="12"/>
        <v>0x0000031C</v>
      </c>
      <c r="B512" s="15">
        <f>SUM_HEX(C511:F511,B511,3)</f>
        <v>796</v>
      </c>
      <c r="C512" s="16" t="s">
        <v>23</v>
      </c>
      <c r="D512" s="16"/>
      <c r="E512" s="16"/>
      <c r="F512" s="16"/>
      <c r="G512" s="46" t="s">
        <v>157</v>
      </c>
      <c r="H512" s="46" t="s">
        <v>212</v>
      </c>
      <c r="I512" s="18" t="s">
        <v>419</v>
      </c>
      <c r="J512" s="18"/>
      <c r="K512" s="18"/>
      <c r="L512" s="25"/>
    </row>
    <row r="513" customHeight="1" spans="1:12">
      <c r="A513" s="14" t="str">
        <f t="shared" si="12"/>
        <v>0x00000320</v>
      </c>
      <c r="B513" s="15">
        <f>SUM_HEX(C512:F512,B512,3)</f>
        <v>800</v>
      </c>
      <c r="C513" s="16" t="s">
        <v>420</v>
      </c>
      <c r="D513" s="16"/>
      <c r="E513" s="16"/>
      <c r="F513" s="16"/>
      <c r="G513" s="47"/>
      <c r="H513" s="47"/>
      <c r="I513" s="18"/>
      <c r="J513" s="18"/>
      <c r="K513" s="18"/>
      <c r="L513" s="25"/>
    </row>
    <row r="514" customHeight="1" spans="1:12">
      <c r="A514" s="14" t="str">
        <f t="shared" si="12"/>
        <v>0x00000324</v>
      </c>
      <c r="B514" s="15">
        <f>SUM_HEX(C513:F513,B513,3)</f>
        <v>804</v>
      </c>
      <c r="C514" s="16" t="s">
        <v>23</v>
      </c>
      <c r="D514" s="16" t="s">
        <v>23</v>
      </c>
      <c r="E514" s="16"/>
      <c r="F514" s="16"/>
      <c r="G514" s="47"/>
      <c r="H514" s="47"/>
      <c r="I514" s="18"/>
      <c r="J514" s="18"/>
      <c r="K514" s="18"/>
      <c r="L514" s="25"/>
    </row>
    <row r="515" customHeight="1" spans="1:12">
      <c r="A515" s="14" t="str">
        <f t="shared" si="12"/>
        <v>0x0000032C</v>
      </c>
      <c r="B515" s="15">
        <f>SUM_HEX(C514:F514,B514,3)</f>
        <v>812</v>
      </c>
      <c r="C515" s="16" t="s">
        <v>274</v>
      </c>
      <c r="D515" s="16"/>
      <c r="E515" s="16"/>
      <c r="F515" s="16"/>
      <c r="G515" s="48"/>
      <c r="H515" s="48"/>
      <c r="I515" s="18"/>
      <c r="J515" s="18"/>
      <c r="K515" s="18"/>
      <c r="L515" s="25"/>
    </row>
    <row r="516" customHeight="1" spans="1:12">
      <c r="A516" s="14" t="str">
        <f t="shared" si="12"/>
        <v>0x00000330</v>
      </c>
      <c r="B516" s="15">
        <f>SUM_HEX(C515:F515,B515,3)</f>
        <v>816</v>
      </c>
      <c r="C516" s="16" t="s">
        <v>23</v>
      </c>
      <c r="D516" s="16"/>
      <c r="E516" s="16"/>
      <c r="F516" s="16"/>
      <c r="G516" s="18" t="s">
        <v>15</v>
      </c>
      <c r="H516" s="18"/>
      <c r="I516" s="24" t="s">
        <v>421</v>
      </c>
      <c r="J516" s="18"/>
      <c r="K516" s="18" t="s">
        <v>416</v>
      </c>
      <c r="L516" s="25"/>
    </row>
    <row r="517" customHeight="1" spans="1:12">
      <c r="A517" s="14" t="str">
        <f t="shared" si="12"/>
        <v>0x00000334</v>
      </c>
      <c r="B517" s="15">
        <f>SUM_HEX(C516:F516,B516,3)</f>
        <v>820</v>
      </c>
      <c r="C517" s="16" t="s">
        <v>23</v>
      </c>
      <c r="D517" s="16"/>
      <c r="E517" s="16"/>
      <c r="F517" s="16"/>
      <c r="G517" s="46" t="s">
        <v>157</v>
      </c>
      <c r="H517" s="46" t="s">
        <v>212</v>
      </c>
      <c r="I517" s="18" t="s">
        <v>422</v>
      </c>
      <c r="J517" s="18"/>
      <c r="K517" s="18"/>
      <c r="L517" s="25"/>
    </row>
    <row r="518" customHeight="1" spans="1:12">
      <c r="A518" s="14" t="str">
        <f t="shared" si="12"/>
        <v>0x00000338</v>
      </c>
      <c r="B518" s="15">
        <f>SUM_HEX(C517:F517,B517,3)</f>
        <v>824</v>
      </c>
      <c r="C518" s="16" t="s">
        <v>423</v>
      </c>
      <c r="D518" s="16"/>
      <c r="E518" s="16"/>
      <c r="F518" s="16"/>
      <c r="G518" s="47"/>
      <c r="H518" s="47"/>
      <c r="I518" s="18"/>
      <c r="J518" s="18"/>
      <c r="K518" s="18"/>
      <c r="L518" s="25"/>
    </row>
    <row r="519" customHeight="1" spans="1:12">
      <c r="A519" s="14" t="str">
        <f t="shared" si="12"/>
        <v>0x0000033C</v>
      </c>
      <c r="B519" s="15">
        <f>SUM_HEX(C518:F518,B518,3)</f>
        <v>828</v>
      </c>
      <c r="C519" s="16" t="s">
        <v>23</v>
      </c>
      <c r="D519" s="16" t="s">
        <v>23</v>
      </c>
      <c r="E519" s="16"/>
      <c r="F519" s="16"/>
      <c r="G519" s="47"/>
      <c r="H519" s="47"/>
      <c r="I519" s="18"/>
      <c r="J519" s="18"/>
      <c r="K519" s="18"/>
      <c r="L519" s="25"/>
    </row>
    <row r="520" customHeight="1" spans="1:12">
      <c r="A520" s="14" t="str">
        <f t="shared" si="12"/>
        <v>0x00000344</v>
      </c>
      <c r="B520" s="15">
        <f>SUM_HEX(C519:F519,B519,3)</f>
        <v>836</v>
      </c>
      <c r="C520" s="16" t="s">
        <v>274</v>
      </c>
      <c r="D520" s="16"/>
      <c r="E520" s="16"/>
      <c r="F520" s="16"/>
      <c r="G520" s="48"/>
      <c r="H520" s="48"/>
      <c r="I520" s="18"/>
      <c r="J520" s="18"/>
      <c r="K520" s="18"/>
      <c r="L520" s="25"/>
    </row>
    <row r="521" customHeight="1" spans="1:12">
      <c r="A521" s="14" t="str">
        <f t="shared" si="12"/>
        <v>0x00000348</v>
      </c>
      <c r="B521" s="15">
        <f>SUM_HEX(C520:F520,B520,3)</f>
        <v>840</v>
      </c>
      <c r="C521" s="16" t="s">
        <v>23</v>
      </c>
      <c r="D521" s="16"/>
      <c r="E521" s="16"/>
      <c r="F521" s="16"/>
      <c r="G521" s="46" t="s">
        <v>157</v>
      </c>
      <c r="H521" s="46" t="s">
        <v>212</v>
      </c>
      <c r="I521" s="18" t="s">
        <v>424</v>
      </c>
      <c r="J521" s="18"/>
      <c r="K521" s="18"/>
      <c r="L521" s="25"/>
    </row>
    <row r="522" customHeight="1" spans="1:12">
      <c r="A522" s="14" t="str">
        <f t="shared" si="12"/>
        <v>0x0000034C</v>
      </c>
      <c r="B522" s="15">
        <f>SUM_HEX(C521:F521,B521,3)</f>
        <v>844</v>
      </c>
      <c r="C522" s="16" t="s">
        <v>425</v>
      </c>
      <c r="D522" s="16"/>
      <c r="E522" s="16"/>
      <c r="F522" s="16"/>
      <c r="G522" s="47"/>
      <c r="H522" s="47"/>
      <c r="I522" s="18"/>
      <c r="J522" s="18"/>
      <c r="K522" s="18"/>
      <c r="L522" s="25"/>
    </row>
    <row r="523" customHeight="1" spans="1:12">
      <c r="A523" s="14" t="str">
        <f t="shared" si="12"/>
        <v>0x00000350</v>
      </c>
      <c r="B523" s="15">
        <f>SUM_HEX(C522:F522,B522,3)</f>
        <v>848</v>
      </c>
      <c r="C523" s="16" t="s">
        <v>23</v>
      </c>
      <c r="D523" s="16" t="s">
        <v>23</v>
      </c>
      <c r="E523" s="16"/>
      <c r="F523" s="16"/>
      <c r="G523" s="47"/>
      <c r="H523" s="47"/>
      <c r="I523" s="18"/>
      <c r="J523" s="18"/>
      <c r="K523" s="18"/>
      <c r="L523" s="25"/>
    </row>
    <row r="524" customHeight="1" spans="1:12">
      <c r="A524" s="14" t="str">
        <f t="shared" si="12"/>
        <v>0x00000358</v>
      </c>
      <c r="B524" s="15">
        <f>SUM_HEX(C523:F523,B523,3)</f>
        <v>856</v>
      </c>
      <c r="C524" s="16" t="s">
        <v>274</v>
      </c>
      <c r="D524" s="16"/>
      <c r="E524" s="16"/>
      <c r="F524" s="16"/>
      <c r="G524" s="48"/>
      <c r="H524" s="48"/>
      <c r="I524" s="18"/>
      <c r="J524" s="18"/>
      <c r="K524" s="18"/>
      <c r="L524" s="25"/>
    </row>
    <row r="525" customHeight="1" spans="1:12">
      <c r="A525" s="14" t="str">
        <f t="shared" si="12"/>
        <v>0x0000035C</v>
      </c>
      <c r="B525" s="15">
        <f>SUM_HEX(C524:F524,B524,3)</f>
        <v>860</v>
      </c>
      <c r="C525" s="16" t="s">
        <v>23</v>
      </c>
      <c r="D525" s="16"/>
      <c r="E525" s="16"/>
      <c r="F525" s="16"/>
      <c r="G525" s="18" t="s">
        <v>15</v>
      </c>
      <c r="H525" s="18"/>
      <c r="I525" s="24" t="s">
        <v>426</v>
      </c>
      <c r="J525" s="18"/>
      <c r="K525" s="18" t="s">
        <v>416</v>
      </c>
      <c r="L525" s="25"/>
    </row>
    <row r="526" customHeight="1" spans="1:12">
      <c r="A526" s="14" t="str">
        <f t="shared" si="12"/>
        <v>0x00000360</v>
      </c>
      <c r="B526" s="15">
        <f>SUM_HEX(C525:F525,B525,3)</f>
        <v>864</v>
      </c>
      <c r="C526" s="16" t="s">
        <v>23</v>
      </c>
      <c r="D526" s="16"/>
      <c r="E526" s="16"/>
      <c r="F526" s="16"/>
      <c r="G526" s="46" t="s">
        <v>157</v>
      </c>
      <c r="H526" s="46" t="s">
        <v>212</v>
      </c>
      <c r="I526" s="18" t="s">
        <v>427</v>
      </c>
      <c r="J526" s="18"/>
      <c r="K526" s="18"/>
      <c r="L526" s="25"/>
    </row>
    <row r="527" customHeight="1" spans="1:12">
      <c r="A527" s="14" t="str">
        <f t="shared" si="12"/>
        <v>0x00000364</v>
      </c>
      <c r="B527" s="15">
        <f>SUM_HEX(C526:F526,B526,3)</f>
        <v>868</v>
      </c>
      <c r="C527" s="16" t="s">
        <v>428</v>
      </c>
      <c r="D527" s="16"/>
      <c r="E527" s="16"/>
      <c r="F527" s="16"/>
      <c r="G527" s="47"/>
      <c r="H527" s="47"/>
      <c r="I527" s="18"/>
      <c r="J527" s="18"/>
      <c r="K527" s="18"/>
      <c r="L527" s="25"/>
    </row>
    <row r="528" customHeight="1" spans="1:12">
      <c r="A528" s="14" t="str">
        <f t="shared" si="12"/>
        <v>0x00000368</v>
      </c>
      <c r="B528" s="15">
        <f>SUM_HEX(C527:F527,B527,3)</f>
        <v>872</v>
      </c>
      <c r="C528" s="16" t="s">
        <v>23</v>
      </c>
      <c r="D528" s="16" t="s">
        <v>23</v>
      </c>
      <c r="E528" s="16"/>
      <c r="F528" s="16"/>
      <c r="G528" s="47"/>
      <c r="H528" s="47"/>
      <c r="I528" s="18"/>
      <c r="J528" s="18"/>
      <c r="K528" s="18"/>
      <c r="L528" s="25"/>
    </row>
    <row r="529" customHeight="1" spans="1:12">
      <c r="A529" s="14" t="str">
        <f t="shared" si="12"/>
        <v>0x00000370</v>
      </c>
      <c r="B529" s="15">
        <f>SUM_HEX(C528:F528,B528,3)</f>
        <v>880</v>
      </c>
      <c r="C529" s="16" t="s">
        <v>274</v>
      </c>
      <c r="D529" s="16"/>
      <c r="E529" s="16"/>
      <c r="F529" s="16"/>
      <c r="G529" s="48"/>
      <c r="H529" s="48"/>
      <c r="I529" s="18"/>
      <c r="J529" s="18"/>
      <c r="K529" s="18"/>
      <c r="L529" s="25"/>
    </row>
    <row r="530" customHeight="1" spans="1:12">
      <c r="A530" s="14" t="str">
        <f t="shared" si="12"/>
        <v>0x00000374</v>
      </c>
      <c r="B530" s="15">
        <f>SUM_HEX(C529:F529,B529,3)</f>
        <v>884</v>
      </c>
      <c r="C530" s="16" t="s">
        <v>23</v>
      </c>
      <c r="D530" s="16"/>
      <c r="E530" s="16"/>
      <c r="F530" s="16"/>
      <c r="G530" s="46" t="s">
        <v>157</v>
      </c>
      <c r="H530" s="46" t="s">
        <v>212</v>
      </c>
      <c r="I530" s="18" t="s">
        <v>429</v>
      </c>
      <c r="J530" s="18"/>
      <c r="K530" s="18"/>
      <c r="L530" s="25"/>
    </row>
    <row r="531" customHeight="1" spans="1:12">
      <c r="A531" s="14" t="str">
        <f t="shared" si="12"/>
        <v>0x00000378</v>
      </c>
      <c r="B531" s="15">
        <f>SUM_HEX(C530:F530,B530,3)</f>
        <v>888</v>
      </c>
      <c r="C531" s="16" t="s">
        <v>430</v>
      </c>
      <c r="D531" s="16"/>
      <c r="E531" s="16"/>
      <c r="F531" s="16"/>
      <c r="G531" s="47"/>
      <c r="H531" s="47"/>
      <c r="I531" s="18"/>
      <c r="J531" s="18"/>
      <c r="K531" s="18"/>
      <c r="L531" s="25"/>
    </row>
    <row r="532" customHeight="1" spans="1:12">
      <c r="A532" s="14" t="str">
        <f t="shared" si="12"/>
        <v>0x0000037C</v>
      </c>
      <c r="B532" s="15">
        <f>SUM_HEX(C531:F531,B531,3)</f>
        <v>892</v>
      </c>
      <c r="C532" s="16" t="s">
        <v>23</v>
      </c>
      <c r="D532" s="16" t="s">
        <v>23</v>
      </c>
      <c r="E532" s="16"/>
      <c r="F532" s="16"/>
      <c r="G532" s="47"/>
      <c r="H532" s="47"/>
      <c r="I532" s="18"/>
      <c r="J532" s="18"/>
      <c r="K532" s="18"/>
      <c r="L532" s="25"/>
    </row>
    <row r="533" customHeight="1" spans="1:12">
      <c r="A533" s="14" t="str">
        <f t="shared" si="12"/>
        <v>0x00000384</v>
      </c>
      <c r="B533" s="15">
        <f>SUM_HEX(C532:F532,B532,3)</f>
        <v>900</v>
      </c>
      <c r="C533" s="16" t="s">
        <v>274</v>
      </c>
      <c r="D533" s="16"/>
      <c r="E533" s="16"/>
      <c r="F533" s="16"/>
      <c r="G533" s="48"/>
      <c r="H533" s="48"/>
      <c r="I533" s="18"/>
      <c r="J533" s="18"/>
      <c r="K533" s="18"/>
      <c r="L533" s="25"/>
    </row>
    <row r="534" customHeight="1" spans="1:12">
      <c r="A534" s="14" t="str">
        <f t="shared" si="12"/>
        <v>0x00000388</v>
      </c>
      <c r="B534" s="15">
        <f>SUM_HEX(C533:F533,B533,3)</f>
        <v>904</v>
      </c>
      <c r="C534" s="16" t="s">
        <v>23</v>
      </c>
      <c r="D534" s="16"/>
      <c r="E534" s="16"/>
      <c r="F534" s="16"/>
      <c r="G534" s="18" t="s">
        <v>15</v>
      </c>
      <c r="H534" s="18"/>
      <c r="I534" s="24" t="s">
        <v>431</v>
      </c>
      <c r="J534" s="18"/>
      <c r="K534" s="18" t="s">
        <v>416</v>
      </c>
      <c r="L534" s="25"/>
    </row>
    <row r="535" customHeight="1" spans="1:12">
      <c r="A535" s="14" t="str">
        <f t="shared" si="12"/>
        <v>0x0000038C</v>
      </c>
      <c r="B535" s="15">
        <f>SUM_HEX(C534:F534,B534,3)</f>
        <v>908</v>
      </c>
      <c r="C535" s="16" t="s">
        <v>23</v>
      </c>
      <c r="D535" s="16"/>
      <c r="E535" s="16"/>
      <c r="F535" s="16"/>
      <c r="G535" s="46" t="s">
        <v>157</v>
      </c>
      <c r="H535" s="46" t="s">
        <v>212</v>
      </c>
      <c r="I535" s="18" t="s">
        <v>432</v>
      </c>
      <c r="J535" s="18"/>
      <c r="K535" s="18"/>
      <c r="L535" s="25"/>
    </row>
    <row r="536" customHeight="1" spans="1:12">
      <c r="A536" s="14" t="str">
        <f t="shared" si="12"/>
        <v>0x00000390</v>
      </c>
      <c r="B536" s="15">
        <f>SUM_HEX(C535:F535,B535,3)</f>
        <v>912</v>
      </c>
      <c r="C536" s="16" t="s">
        <v>433</v>
      </c>
      <c r="D536" s="16"/>
      <c r="E536" s="16"/>
      <c r="F536" s="16"/>
      <c r="G536" s="47"/>
      <c r="H536" s="47"/>
      <c r="I536" s="18"/>
      <c r="J536" s="18"/>
      <c r="K536" s="18"/>
      <c r="L536" s="25"/>
    </row>
    <row r="537" customHeight="1" spans="1:12">
      <c r="A537" s="14" t="str">
        <f t="shared" si="12"/>
        <v>0x00000394</v>
      </c>
      <c r="B537" s="15">
        <f>SUM_HEX(C536:F536,B536,3)</f>
        <v>916</v>
      </c>
      <c r="C537" s="16" t="s">
        <v>23</v>
      </c>
      <c r="D537" s="16" t="s">
        <v>23</v>
      </c>
      <c r="E537" s="16"/>
      <c r="F537" s="16"/>
      <c r="G537" s="47"/>
      <c r="H537" s="47"/>
      <c r="I537" s="18"/>
      <c r="J537" s="18"/>
      <c r="K537" s="18"/>
      <c r="L537" s="25"/>
    </row>
    <row r="538" customHeight="1" spans="1:12">
      <c r="A538" s="14" t="str">
        <f t="shared" si="12"/>
        <v>0x0000039C</v>
      </c>
      <c r="B538" s="15">
        <f>SUM_HEX(C537:F537,B537,3)</f>
        <v>924</v>
      </c>
      <c r="C538" s="16" t="s">
        <v>274</v>
      </c>
      <c r="D538" s="16"/>
      <c r="E538" s="16"/>
      <c r="F538" s="16"/>
      <c r="G538" s="48"/>
      <c r="H538" s="48"/>
      <c r="I538" s="18"/>
      <c r="J538" s="18"/>
      <c r="K538" s="18"/>
      <c r="L538" s="25"/>
    </row>
    <row r="539" customHeight="1" spans="1:12">
      <c r="A539" s="14" t="str">
        <f t="shared" si="12"/>
        <v>0x000003A0</v>
      </c>
      <c r="B539" s="15">
        <f>SUM_HEX(C538:F538,B538,3)</f>
        <v>928</v>
      </c>
      <c r="C539" s="16" t="s">
        <v>23</v>
      </c>
      <c r="D539" s="16"/>
      <c r="E539" s="16"/>
      <c r="F539" s="16"/>
      <c r="G539" s="46" t="s">
        <v>157</v>
      </c>
      <c r="H539" s="46" t="s">
        <v>212</v>
      </c>
      <c r="I539" s="18" t="s">
        <v>434</v>
      </c>
      <c r="J539" s="18"/>
      <c r="K539" s="18"/>
      <c r="L539" s="25"/>
    </row>
    <row r="540" customHeight="1" spans="1:12">
      <c r="A540" s="14" t="str">
        <f t="shared" si="12"/>
        <v>0x000003A4</v>
      </c>
      <c r="B540" s="15">
        <f>SUM_HEX(C539:F539,B539,3)</f>
        <v>932</v>
      </c>
      <c r="C540" s="16" t="s">
        <v>435</v>
      </c>
      <c r="D540" s="16"/>
      <c r="E540" s="16"/>
      <c r="F540" s="16"/>
      <c r="G540" s="47"/>
      <c r="H540" s="47"/>
      <c r="I540" s="18"/>
      <c r="J540" s="18"/>
      <c r="K540" s="18"/>
      <c r="L540" s="25"/>
    </row>
    <row r="541" customHeight="1" spans="1:12">
      <c r="A541" s="14" t="str">
        <f t="shared" si="12"/>
        <v>0x000003A8</v>
      </c>
      <c r="B541" s="15">
        <f>SUM_HEX(C540:F540,B540,3)</f>
        <v>936</v>
      </c>
      <c r="C541" s="16" t="s">
        <v>23</v>
      </c>
      <c r="D541" s="16" t="s">
        <v>23</v>
      </c>
      <c r="E541" s="16"/>
      <c r="F541" s="16"/>
      <c r="G541" s="47"/>
      <c r="H541" s="47"/>
      <c r="I541" s="18"/>
      <c r="J541" s="18"/>
      <c r="K541" s="18"/>
      <c r="L541" s="25"/>
    </row>
    <row r="542" customHeight="1" spans="1:12">
      <c r="A542" s="14" t="str">
        <f t="shared" si="12"/>
        <v>0x000003B0</v>
      </c>
      <c r="B542" s="15">
        <f>SUM_HEX(C541:F541,B541,3)</f>
        <v>944</v>
      </c>
      <c r="C542" s="16" t="s">
        <v>274</v>
      </c>
      <c r="D542" s="16"/>
      <c r="E542" s="16"/>
      <c r="F542" s="16"/>
      <c r="G542" s="48"/>
      <c r="H542" s="48"/>
      <c r="I542" s="18"/>
      <c r="J542" s="18"/>
      <c r="K542" s="18"/>
      <c r="L542" s="25"/>
    </row>
    <row r="543" customHeight="1" spans="1:12">
      <c r="A543" s="14" t="str">
        <f t="shared" si="12"/>
        <v>0x000003B4</v>
      </c>
      <c r="B543" s="15">
        <f>SUM_HEX(C542:F542,B542,3)</f>
        <v>948</v>
      </c>
      <c r="C543" s="16" t="s">
        <v>23</v>
      </c>
      <c r="D543" s="16"/>
      <c r="E543" s="16"/>
      <c r="F543" s="16"/>
      <c r="G543" s="18" t="s">
        <v>15</v>
      </c>
      <c r="H543" s="18"/>
      <c r="I543" s="24" t="s">
        <v>436</v>
      </c>
      <c r="J543" s="18"/>
      <c r="K543" s="18" t="s">
        <v>416</v>
      </c>
      <c r="L543" s="25"/>
    </row>
    <row r="544" customHeight="1" spans="1:12">
      <c r="A544" s="14" t="str">
        <f t="shared" si="12"/>
        <v>0x000003B8</v>
      </c>
      <c r="B544" s="15">
        <f>SUM_HEX(C543:F543,B543,3)</f>
        <v>952</v>
      </c>
      <c r="C544" s="16" t="s">
        <v>23</v>
      </c>
      <c r="D544" s="16"/>
      <c r="E544" s="16"/>
      <c r="F544" s="16"/>
      <c r="G544" s="46" t="s">
        <v>157</v>
      </c>
      <c r="H544" s="46" t="s">
        <v>212</v>
      </c>
      <c r="I544" s="18" t="s">
        <v>437</v>
      </c>
      <c r="J544" s="18"/>
      <c r="K544" s="18"/>
      <c r="L544" s="25"/>
    </row>
    <row r="545" customHeight="1" spans="1:12">
      <c r="A545" s="14" t="str">
        <f t="shared" si="12"/>
        <v>0x000003BC</v>
      </c>
      <c r="B545" s="15">
        <f>SUM_HEX(C544:F544,B544,3)</f>
        <v>956</v>
      </c>
      <c r="C545" s="16" t="s">
        <v>438</v>
      </c>
      <c r="D545" s="16"/>
      <c r="E545" s="16"/>
      <c r="F545" s="16"/>
      <c r="G545" s="47"/>
      <c r="H545" s="47"/>
      <c r="I545" s="18"/>
      <c r="J545" s="18"/>
      <c r="K545" s="18"/>
      <c r="L545" s="25"/>
    </row>
    <row r="546" customHeight="1" spans="1:12">
      <c r="A546" s="14" t="str">
        <f t="shared" ref="A546:A596" si="13">"0x"&amp;DEC2HEX(B546,8)</f>
        <v>0x000003C0</v>
      </c>
      <c r="B546" s="15">
        <f>SUM_HEX(C545:F545,B545,3)</f>
        <v>960</v>
      </c>
      <c r="C546" s="16" t="s">
        <v>23</v>
      </c>
      <c r="D546" s="16" t="s">
        <v>23</v>
      </c>
      <c r="E546" s="16"/>
      <c r="F546" s="16"/>
      <c r="G546" s="47"/>
      <c r="H546" s="47"/>
      <c r="I546" s="18"/>
      <c r="J546" s="18"/>
      <c r="K546" s="18"/>
      <c r="L546" s="25"/>
    </row>
    <row r="547" customHeight="1" spans="1:12">
      <c r="A547" s="14" t="str">
        <f t="shared" si="13"/>
        <v>0x000003C8</v>
      </c>
      <c r="B547" s="15">
        <f>SUM_HEX(C546:F546,B546,3)</f>
        <v>968</v>
      </c>
      <c r="C547" s="16" t="s">
        <v>274</v>
      </c>
      <c r="D547" s="16"/>
      <c r="E547" s="16"/>
      <c r="F547" s="16"/>
      <c r="G547" s="48"/>
      <c r="H547" s="48"/>
      <c r="I547" s="18"/>
      <c r="J547" s="18"/>
      <c r="K547" s="18"/>
      <c r="L547" s="25"/>
    </row>
    <row r="548" customHeight="1" spans="1:12">
      <c r="A548" s="14" t="str">
        <f t="shared" si="13"/>
        <v>0x000003CC</v>
      </c>
      <c r="B548" s="15">
        <f>SUM_HEX(C547:F547,B547,3)</f>
        <v>972</v>
      </c>
      <c r="C548" s="16" t="s">
        <v>23</v>
      </c>
      <c r="D548" s="16"/>
      <c r="E548" s="16"/>
      <c r="F548" s="16"/>
      <c r="G548" s="46" t="s">
        <v>157</v>
      </c>
      <c r="H548" s="46" t="s">
        <v>212</v>
      </c>
      <c r="I548" s="18" t="s">
        <v>439</v>
      </c>
      <c r="J548" s="18"/>
      <c r="K548" s="18"/>
      <c r="L548" s="25"/>
    </row>
    <row r="549" customHeight="1" spans="1:12">
      <c r="A549" s="14" t="str">
        <f t="shared" si="13"/>
        <v>0x000003D0</v>
      </c>
      <c r="B549" s="15">
        <f>SUM_HEX(C548:F548,B548,3)</f>
        <v>976</v>
      </c>
      <c r="C549" s="16" t="s">
        <v>440</v>
      </c>
      <c r="D549" s="16"/>
      <c r="E549" s="16"/>
      <c r="F549" s="16"/>
      <c r="G549" s="47"/>
      <c r="H549" s="47"/>
      <c r="I549" s="18"/>
      <c r="J549" s="18"/>
      <c r="K549" s="18"/>
      <c r="L549" s="25"/>
    </row>
    <row r="550" customHeight="1" spans="1:12">
      <c r="A550" s="14" t="str">
        <f t="shared" si="13"/>
        <v>0x000003D4</v>
      </c>
      <c r="B550" s="15">
        <f>SUM_HEX(C549:F549,B549,3)</f>
        <v>980</v>
      </c>
      <c r="C550" s="16" t="s">
        <v>23</v>
      </c>
      <c r="D550" s="16" t="s">
        <v>23</v>
      </c>
      <c r="E550" s="16"/>
      <c r="F550" s="16"/>
      <c r="G550" s="47"/>
      <c r="H550" s="47"/>
      <c r="I550" s="18"/>
      <c r="J550" s="18"/>
      <c r="K550" s="18"/>
      <c r="L550" s="25"/>
    </row>
    <row r="551" customHeight="1" spans="1:12">
      <c r="A551" s="14" t="str">
        <f t="shared" si="13"/>
        <v>0x000003DC</v>
      </c>
      <c r="B551" s="15">
        <f>SUM_HEX(C550:F550,B550,3)</f>
        <v>988</v>
      </c>
      <c r="C551" s="16" t="s">
        <v>274</v>
      </c>
      <c r="D551" s="16"/>
      <c r="E551" s="16"/>
      <c r="F551" s="16"/>
      <c r="G551" s="48"/>
      <c r="H551" s="48"/>
      <c r="I551" s="18"/>
      <c r="J551" s="18"/>
      <c r="K551" s="18"/>
      <c r="L551" s="25"/>
    </row>
    <row r="552" customHeight="1" spans="1:12">
      <c r="A552" s="14" t="str">
        <f t="shared" si="13"/>
        <v>0x000003E0</v>
      </c>
      <c r="B552" s="15">
        <f>SUM_HEX(C551:F551,B551,3)</f>
        <v>992</v>
      </c>
      <c r="C552" s="16" t="s">
        <v>23</v>
      </c>
      <c r="D552" s="16"/>
      <c r="E552" s="16"/>
      <c r="F552" s="16"/>
      <c r="G552" s="18" t="s">
        <v>15</v>
      </c>
      <c r="H552" s="18"/>
      <c r="I552" s="24"/>
      <c r="J552" s="18"/>
      <c r="K552" s="18"/>
      <c r="L552" s="25"/>
    </row>
    <row r="553" customHeight="1" spans="1:12">
      <c r="A553" s="14" t="str">
        <f t="shared" si="13"/>
        <v>0x000003E4</v>
      </c>
      <c r="B553" s="15">
        <f>SUM_HEX(C552:F552,B552,3)</f>
        <v>996</v>
      </c>
      <c r="C553" s="16" t="s">
        <v>23</v>
      </c>
      <c r="D553" s="16"/>
      <c r="E553" s="16"/>
      <c r="F553" s="16"/>
      <c r="G553" s="46" t="s">
        <v>157</v>
      </c>
      <c r="H553" s="46"/>
      <c r="I553" s="18"/>
      <c r="J553" s="18"/>
      <c r="K553" s="18"/>
      <c r="L553" s="25"/>
    </row>
    <row r="554" customHeight="1" spans="1:12">
      <c r="A554" s="14" t="str">
        <f t="shared" si="13"/>
        <v>0x000003E8</v>
      </c>
      <c r="B554" s="15">
        <f>SUM_HEX(C553:F553,B553,3)</f>
        <v>1000</v>
      </c>
      <c r="C554" s="16" t="s">
        <v>441</v>
      </c>
      <c r="D554" s="16"/>
      <c r="E554" s="16"/>
      <c r="F554" s="16"/>
      <c r="G554" s="47"/>
      <c r="H554" s="47"/>
      <c r="I554" s="18"/>
      <c r="J554" s="18"/>
      <c r="K554" s="18"/>
      <c r="L554" s="25"/>
    </row>
    <row r="555" customHeight="1" spans="1:12">
      <c r="A555" s="14" t="str">
        <f t="shared" si="13"/>
        <v>0x000003EC</v>
      </c>
      <c r="B555" s="15">
        <f>SUM_HEX(C554:F554,B554,3)</f>
        <v>1004</v>
      </c>
      <c r="C555" s="16" t="s">
        <v>23</v>
      </c>
      <c r="D555" s="16" t="s">
        <v>23</v>
      </c>
      <c r="E555" s="16"/>
      <c r="F555" s="16"/>
      <c r="G555" s="47"/>
      <c r="H555" s="47"/>
      <c r="I555" s="18"/>
      <c r="J555" s="18"/>
      <c r="K555" s="18"/>
      <c r="L555" s="25"/>
    </row>
    <row r="556" customHeight="1" spans="1:12">
      <c r="A556" s="14" t="str">
        <f t="shared" si="13"/>
        <v>0x000003F4</v>
      </c>
      <c r="B556" s="15">
        <f>SUM_HEX(C555:F555,B555,3)</f>
        <v>1012</v>
      </c>
      <c r="C556" s="16" t="s">
        <v>274</v>
      </c>
      <c r="D556" s="16"/>
      <c r="E556" s="16"/>
      <c r="F556" s="16"/>
      <c r="G556" s="48"/>
      <c r="H556" s="48"/>
      <c r="I556" s="18"/>
      <c r="J556" s="18"/>
      <c r="K556" s="18"/>
      <c r="L556" s="25"/>
    </row>
    <row r="557" customHeight="1" spans="1:12">
      <c r="A557" s="14" t="str">
        <f t="shared" si="13"/>
        <v>0x000003F8</v>
      </c>
      <c r="B557" s="15">
        <f>SUM_HEX(C556:F556,B556,3)</f>
        <v>1016</v>
      </c>
      <c r="C557" s="16" t="s">
        <v>23</v>
      </c>
      <c r="D557" s="16"/>
      <c r="E557" s="16"/>
      <c r="F557" s="16"/>
      <c r="G557" s="46" t="s">
        <v>157</v>
      </c>
      <c r="H557" s="46"/>
      <c r="I557" s="18"/>
      <c r="J557" s="18"/>
      <c r="K557" s="18"/>
      <c r="L557" s="25"/>
    </row>
    <row r="558" customHeight="1" spans="1:12">
      <c r="A558" s="14" t="str">
        <f t="shared" si="13"/>
        <v>0x000003FC</v>
      </c>
      <c r="B558" s="15">
        <f>SUM_HEX(C557:F557,B557,3)</f>
        <v>1020</v>
      </c>
      <c r="C558" s="16" t="s">
        <v>442</v>
      </c>
      <c r="D558" s="16"/>
      <c r="E558" s="16"/>
      <c r="F558" s="16"/>
      <c r="G558" s="47"/>
      <c r="H558" s="47"/>
      <c r="I558" s="18"/>
      <c r="J558" s="18"/>
      <c r="K558" s="18"/>
      <c r="L558" s="25"/>
    </row>
    <row r="559" customHeight="1" spans="1:12">
      <c r="A559" s="14" t="str">
        <f t="shared" si="13"/>
        <v>0x00000400</v>
      </c>
      <c r="B559" s="15">
        <f>SUM_HEX(C558:F558,B558,3)</f>
        <v>1024</v>
      </c>
      <c r="C559" s="16" t="s">
        <v>23</v>
      </c>
      <c r="D559" s="16" t="s">
        <v>23</v>
      </c>
      <c r="E559" s="16"/>
      <c r="F559" s="16"/>
      <c r="G559" s="47"/>
      <c r="H559" s="47"/>
      <c r="I559" s="18"/>
      <c r="J559" s="18"/>
      <c r="K559" s="18"/>
      <c r="L559" s="25"/>
    </row>
    <row r="560" customHeight="1" spans="1:12">
      <c r="A560" s="14" t="str">
        <f t="shared" si="13"/>
        <v>0x00000408</v>
      </c>
      <c r="B560" s="15">
        <f>SUM_HEX(C559:F559,B559,3)</f>
        <v>1032</v>
      </c>
      <c r="C560" s="16" t="s">
        <v>274</v>
      </c>
      <c r="D560" s="16"/>
      <c r="E560" s="16"/>
      <c r="F560" s="16"/>
      <c r="G560" s="48"/>
      <c r="H560" s="48"/>
      <c r="I560" s="18"/>
      <c r="J560" s="18"/>
      <c r="K560" s="18"/>
      <c r="L560" s="25"/>
    </row>
    <row r="561" customHeight="1" spans="1:12">
      <c r="A561" s="14" t="str">
        <f t="shared" si="13"/>
        <v>0x0000040C</v>
      </c>
      <c r="B561" s="15">
        <f>SUM_HEX(C560:F560,B560,3)</f>
        <v>1036</v>
      </c>
      <c r="C561" s="16" t="s">
        <v>23</v>
      </c>
      <c r="D561" s="16"/>
      <c r="E561" s="16"/>
      <c r="F561" s="16"/>
      <c r="G561" s="18" t="s">
        <v>15</v>
      </c>
      <c r="H561" s="18"/>
      <c r="I561" s="24" t="s">
        <v>443</v>
      </c>
      <c r="J561" s="18"/>
      <c r="K561" s="18" t="s">
        <v>416</v>
      </c>
      <c r="L561" s="25"/>
    </row>
    <row r="562" customHeight="1" spans="1:12">
      <c r="A562" s="14" t="str">
        <f t="shared" si="13"/>
        <v>0x00000410</v>
      </c>
      <c r="B562" s="15">
        <f>SUM_HEX(C561:F561,B561,3)</f>
        <v>1040</v>
      </c>
      <c r="C562" s="16" t="s">
        <v>23</v>
      </c>
      <c r="D562" s="16"/>
      <c r="E562" s="16"/>
      <c r="F562" s="16"/>
      <c r="G562" s="46" t="s">
        <v>157</v>
      </c>
      <c r="H562" s="46" t="s">
        <v>212</v>
      </c>
      <c r="I562" s="18" t="s">
        <v>444</v>
      </c>
      <c r="J562" s="18"/>
      <c r="K562" s="18"/>
      <c r="L562" s="25"/>
    </row>
    <row r="563" customHeight="1" spans="1:12">
      <c r="A563" s="14" t="str">
        <f t="shared" si="13"/>
        <v>0x00000414</v>
      </c>
      <c r="B563" s="15">
        <f>SUM_HEX(C562:F562,B562,3)</f>
        <v>1044</v>
      </c>
      <c r="C563" s="16" t="s">
        <v>445</v>
      </c>
      <c r="D563" s="16"/>
      <c r="E563" s="16"/>
      <c r="F563" s="16"/>
      <c r="G563" s="47"/>
      <c r="H563" s="47"/>
      <c r="I563" s="18"/>
      <c r="J563" s="18"/>
      <c r="K563" s="18"/>
      <c r="L563" s="25"/>
    </row>
    <row r="564" customHeight="1" spans="1:12">
      <c r="A564" s="14" t="str">
        <f t="shared" si="13"/>
        <v>0x00000418</v>
      </c>
      <c r="B564" s="15">
        <f>SUM_HEX(C563:F563,B563,3)</f>
        <v>1048</v>
      </c>
      <c r="C564" s="16" t="s">
        <v>23</v>
      </c>
      <c r="D564" s="16" t="s">
        <v>23</v>
      </c>
      <c r="E564" s="16"/>
      <c r="F564" s="16"/>
      <c r="G564" s="47"/>
      <c r="H564" s="47"/>
      <c r="I564" s="18"/>
      <c r="J564" s="18"/>
      <c r="K564" s="18"/>
      <c r="L564" s="25"/>
    </row>
    <row r="565" customHeight="1" spans="1:12">
      <c r="A565" s="14" t="str">
        <f t="shared" si="13"/>
        <v>0x00000420</v>
      </c>
      <c r="B565" s="15">
        <f>SUM_HEX(C564:F564,B564,3)</f>
        <v>1056</v>
      </c>
      <c r="C565" s="16" t="s">
        <v>274</v>
      </c>
      <c r="D565" s="16"/>
      <c r="E565" s="16"/>
      <c r="F565" s="16"/>
      <c r="G565" s="48"/>
      <c r="H565" s="48"/>
      <c r="I565" s="18"/>
      <c r="J565" s="18"/>
      <c r="K565" s="18"/>
      <c r="L565" s="25"/>
    </row>
    <row r="566" customHeight="1" spans="1:12">
      <c r="A566" s="14" t="str">
        <f t="shared" si="13"/>
        <v>0x00000424</v>
      </c>
      <c r="B566" s="15">
        <f>SUM_HEX(C565:F565,B565,3)</f>
        <v>1060</v>
      </c>
      <c r="C566" s="16" t="s">
        <v>23</v>
      </c>
      <c r="D566" s="16"/>
      <c r="E566" s="16"/>
      <c r="F566" s="16"/>
      <c r="G566" s="46" t="s">
        <v>157</v>
      </c>
      <c r="H566" s="46" t="s">
        <v>212</v>
      </c>
      <c r="I566" s="18" t="s">
        <v>446</v>
      </c>
      <c r="J566" s="18"/>
      <c r="K566" s="18"/>
      <c r="L566" s="25"/>
    </row>
    <row r="567" customHeight="1" spans="1:12">
      <c r="A567" s="14" t="str">
        <f t="shared" si="13"/>
        <v>0x00000428</v>
      </c>
      <c r="B567" s="15">
        <f>SUM_HEX(C566:F566,B566,3)</f>
        <v>1064</v>
      </c>
      <c r="C567" s="16" t="s">
        <v>447</v>
      </c>
      <c r="D567" s="16"/>
      <c r="E567" s="16"/>
      <c r="F567" s="16"/>
      <c r="G567" s="47"/>
      <c r="H567" s="47"/>
      <c r="I567" s="18"/>
      <c r="J567" s="18"/>
      <c r="K567" s="18"/>
      <c r="L567" s="25"/>
    </row>
    <row r="568" customHeight="1" spans="1:12">
      <c r="A568" s="14" t="str">
        <f t="shared" si="13"/>
        <v>0x0000042C</v>
      </c>
      <c r="B568" s="15">
        <f>SUM_HEX(C567:F567,B567,3)</f>
        <v>1068</v>
      </c>
      <c r="C568" s="16" t="s">
        <v>23</v>
      </c>
      <c r="D568" s="16" t="s">
        <v>23</v>
      </c>
      <c r="E568" s="16"/>
      <c r="F568" s="16"/>
      <c r="G568" s="47"/>
      <c r="H568" s="47"/>
      <c r="I568" s="18"/>
      <c r="J568" s="18"/>
      <c r="K568" s="18"/>
      <c r="L568" s="25"/>
    </row>
    <row r="569" customHeight="1" spans="1:12">
      <c r="A569" s="14" t="str">
        <f t="shared" si="13"/>
        <v>0x00000434</v>
      </c>
      <c r="B569" s="15">
        <f>SUM_HEX(C568:F568,B568,3)</f>
        <v>1076</v>
      </c>
      <c r="C569" s="16" t="s">
        <v>274</v>
      </c>
      <c r="D569" s="16"/>
      <c r="E569" s="16"/>
      <c r="F569" s="16"/>
      <c r="G569" s="48"/>
      <c r="H569" s="48"/>
      <c r="I569" s="18"/>
      <c r="J569" s="18"/>
      <c r="K569" s="18"/>
      <c r="L569" s="25"/>
    </row>
    <row r="570" customHeight="1" spans="1:12">
      <c r="A570" s="14" t="str">
        <f t="shared" si="13"/>
        <v>0x00000438</v>
      </c>
      <c r="B570" s="15">
        <f>SUM_HEX(C569:F569,B569,3)</f>
        <v>1080</v>
      </c>
      <c r="C570" s="16" t="s">
        <v>23</v>
      </c>
      <c r="D570" s="16"/>
      <c r="E570" s="16"/>
      <c r="F570" s="16"/>
      <c r="G570" s="18" t="s">
        <v>15</v>
      </c>
      <c r="H570" s="18"/>
      <c r="I570" s="24" t="s">
        <v>448</v>
      </c>
      <c r="J570" s="18"/>
      <c r="K570" s="18" t="s">
        <v>416</v>
      </c>
      <c r="L570" s="25"/>
    </row>
    <row r="571" customHeight="1" spans="1:12">
      <c r="A571" s="14" t="str">
        <f t="shared" si="13"/>
        <v>0x0000043C</v>
      </c>
      <c r="B571" s="15">
        <f>SUM_HEX(C570:F570,B570,3)</f>
        <v>1084</v>
      </c>
      <c r="C571" s="16" t="s">
        <v>23</v>
      </c>
      <c r="D571" s="16"/>
      <c r="E571" s="16"/>
      <c r="F571" s="16"/>
      <c r="G571" s="46" t="s">
        <v>157</v>
      </c>
      <c r="H571" s="46" t="s">
        <v>212</v>
      </c>
      <c r="I571" s="18" t="s">
        <v>449</v>
      </c>
      <c r="J571" s="18"/>
      <c r="K571" s="18"/>
      <c r="L571" s="25"/>
    </row>
    <row r="572" customHeight="1" spans="1:12">
      <c r="A572" s="14" t="str">
        <f t="shared" si="13"/>
        <v>0x00000440</v>
      </c>
      <c r="B572" s="15">
        <f>SUM_HEX(C571:F571,B571,3)</f>
        <v>1088</v>
      </c>
      <c r="C572" s="16" t="s">
        <v>450</v>
      </c>
      <c r="D572" s="16"/>
      <c r="E572" s="16"/>
      <c r="F572" s="16"/>
      <c r="G572" s="47"/>
      <c r="H572" s="47"/>
      <c r="I572" s="18"/>
      <c r="J572" s="18"/>
      <c r="K572" s="18"/>
      <c r="L572" s="25"/>
    </row>
    <row r="573" customHeight="1" spans="1:12">
      <c r="A573" s="14" t="str">
        <f t="shared" si="13"/>
        <v>0x00000444</v>
      </c>
      <c r="B573" s="15">
        <f>SUM_HEX(C572:F572,B572,3)</f>
        <v>1092</v>
      </c>
      <c r="C573" s="16" t="s">
        <v>23</v>
      </c>
      <c r="D573" s="16" t="s">
        <v>23</v>
      </c>
      <c r="E573" s="16"/>
      <c r="F573" s="16"/>
      <c r="G573" s="47"/>
      <c r="H573" s="47"/>
      <c r="I573" s="18"/>
      <c r="J573" s="18"/>
      <c r="K573" s="18"/>
      <c r="L573" s="25"/>
    </row>
    <row r="574" customHeight="1" spans="1:12">
      <c r="A574" s="14" t="str">
        <f t="shared" si="13"/>
        <v>0x0000044C</v>
      </c>
      <c r="B574" s="15">
        <f>SUM_HEX(C573:F573,B573,3)</f>
        <v>1100</v>
      </c>
      <c r="C574" s="16" t="s">
        <v>274</v>
      </c>
      <c r="D574" s="16"/>
      <c r="E574" s="16"/>
      <c r="F574" s="16"/>
      <c r="G574" s="48"/>
      <c r="H574" s="48"/>
      <c r="I574" s="18"/>
      <c r="J574" s="18"/>
      <c r="K574" s="18"/>
      <c r="L574" s="25"/>
    </row>
    <row r="575" customHeight="1" spans="1:12">
      <c r="A575" s="14" t="str">
        <f t="shared" si="13"/>
        <v>0x00000450</v>
      </c>
      <c r="B575" s="15">
        <f>SUM_HEX(C574:F574,B574,3)</f>
        <v>1104</v>
      </c>
      <c r="C575" s="16" t="s">
        <v>23</v>
      </c>
      <c r="D575" s="16"/>
      <c r="E575" s="16"/>
      <c r="F575" s="16"/>
      <c r="G575" s="46" t="s">
        <v>157</v>
      </c>
      <c r="H575" s="46" t="s">
        <v>212</v>
      </c>
      <c r="I575" s="18" t="s">
        <v>451</v>
      </c>
      <c r="J575" s="18"/>
      <c r="K575" s="18"/>
      <c r="L575" s="25"/>
    </row>
    <row r="576" customHeight="1" spans="1:12">
      <c r="A576" s="14" t="str">
        <f t="shared" si="13"/>
        <v>0x00000454</v>
      </c>
      <c r="B576" s="15">
        <f>SUM_HEX(C575:F575,B575,3)</f>
        <v>1108</v>
      </c>
      <c r="C576" s="16" t="s">
        <v>452</v>
      </c>
      <c r="D576" s="16"/>
      <c r="E576" s="16"/>
      <c r="F576" s="16"/>
      <c r="G576" s="47"/>
      <c r="H576" s="47"/>
      <c r="I576" s="18"/>
      <c r="J576" s="18"/>
      <c r="K576" s="18"/>
      <c r="L576" s="25"/>
    </row>
    <row r="577" customHeight="1" spans="1:12">
      <c r="A577" s="14" t="str">
        <f t="shared" si="13"/>
        <v>0x00000458</v>
      </c>
      <c r="B577" s="15">
        <f>SUM_HEX(C576:F576,B576,3)</f>
        <v>1112</v>
      </c>
      <c r="C577" s="16" t="s">
        <v>23</v>
      </c>
      <c r="D577" s="16" t="s">
        <v>23</v>
      </c>
      <c r="E577" s="16"/>
      <c r="F577" s="16"/>
      <c r="G577" s="47"/>
      <c r="H577" s="47"/>
      <c r="I577" s="18"/>
      <c r="J577" s="18"/>
      <c r="K577" s="18"/>
      <c r="L577" s="25"/>
    </row>
    <row r="578" customHeight="1" spans="1:12">
      <c r="A578" s="14" t="str">
        <f t="shared" si="13"/>
        <v>0x00000460</v>
      </c>
      <c r="B578" s="15">
        <f>SUM_HEX(C577:F577,B577,3)</f>
        <v>1120</v>
      </c>
      <c r="C578" s="16" t="s">
        <v>274</v>
      </c>
      <c r="D578" s="16"/>
      <c r="E578" s="16"/>
      <c r="F578" s="16"/>
      <c r="G578" s="48"/>
      <c r="H578" s="48"/>
      <c r="I578" s="18"/>
      <c r="J578" s="18"/>
      <c r="K578" s="18"/>
      <c r="L578" s="25"/>
    </row>
    <row r="579" customHeight="1" spans="1:12">
      <c r="A579" s="14" t="str">
        <f t="shared" si="13"/>
        <v>0x00000464</v>
      </c>
      <c r="B579" s="15">
        <f>SUM_HEX(C578:F578,B578,3)</f>
        <v>1124</v>
      </c>
      <c r="C579" s="16" t="s">
        <v>23</v>
      </c>
      <c r="D579" s="16"/>
      <c r="E579" s="16"/>
      <c r="F579" s="16"/>
      <c r="G579" s="18" t="s">
        <v>15</v>
      </c>
      <c r="H579" s="18"/>
      <c r="I579" s="24" t="s">
        <v>453</v>
      </c>
      <c r="J579" s="18"/>
      <c r="K579" s="18" t="s">
        <v>416</v>
      </c>
      <c r="L579" s="25"/>
    </row>
    <row r="580" customHeight="1" spans="1:12">
      <c r="A580" s="14" t="str">
        <f t="shared" si="13"/>
        <v>0x00000468</v>
      </c>
      <c r="B580" s="15">
        <f>SUM_HEX(C579:F579,B579,3)</f>
        <v>1128</v>
      </c>
      <c r="C580" s="16" t="s">
        <v>23</v>
      </c>
      <c r="D580" s="16"/>
      <c r="E580" s="16"/>
      <c r="F580" s="16"/>
      <c r="G580" s="46" t="s">
        <v>157</v>
      </c>
      <c r="H580" s="46" t="s">
        <v>212</v>
      </c>
      <c r="I580" s="18" t="s">
        <v>454</v>
      </c>
      <c r="J580" s="18"/>
      <c r="K580" s="18"/>
      <c r="L580" s="25"/>
    </row>
    <row r="581" customHeight="1" spans="1:12">
      <c r="A581" s="14" t="str">
        <f t="shared" si="13"/>
        <v>0x0000046C</v>
      </c>
      <c r="B581" s="15">
        <f>SUM_HEX(C580:F580,B580,3)</f>
        <v>1132</v>
      </c>
      <c r="C581" s="16" t="s">
        <v>455</v>
      </c>
      <c r="D581" s="16"/>
      <c r="E581" s="16"/>
      <c r="F581" s="16"/>
      <c r="G581" s="47"/>
      <c r="H581" s="47"/>
      <c r="I581" s="18"/>
      <c r="J581" s="18"/>
      <c r="K581" s="18"/>
      <c r="L581" s="25"/>
    </row>
    <row r="582" customHeight="1" spans="1:12">
      <c r="A582" s="14" t="str">
        <f t="shared" si="13"/>
        <v>0x00000470</v>
      </c>
      <c r="B582" s="15">
        <f>SUM_HEX(C581:F581,B581,3)</f>
        <v>1136</v>
      </c>
      <c r="C582" s="16" t="s">
        <v>23</v>
      </c>
      <c r="D582" s="16" t="s">
        <v>23</v>
      </c>
      <c r="E582" s="16"/>
      <c r="F582" s="16"/>
      <c r="G582" s="47"/>
      <c r="H582" s="47"/>
      <c r="I582" s="18"/>
      <c r="J582" s="18"/>
      <c r="K582" s="18"/>
      <c r="L582" s="25"/>
    </row>
    <row r="583" customHeight="1" spans="1:12">
      <c r="A583" s="14" t="str">
        <f t="shared" si="13"/>
        <v>0x00000478</v>
      </c>
      <c r="B583" s="15">
        <f>SUM_HEX(C582:F582,B582,3)</f>
        <v>1144</v>
      </c>
      <c r="C583" s="16" t="s">
        <v>274</v>
      </c>
      <c r="D583" s="16"/>
      <c r="E583" s="16"/>
      <c r="F583" s="16"/>
      <c r="G583" s="48"/>
      <c r="H583" s="48"/>
      <c r="I583" s="18"/>
      <c r="J583" s="18"/>
      <c r="K583" s="18"/>
      <c r="L583" s="25"/>
    </row>
    <row r="584" customHeight="1" spans="1:12">
      <c r="A584" s="14" t="str">
        <f t="shared" si="13"/>
        <v>0x0000047C</v>
      </c>
      <c r="B584" s="15">
        <f>SUM_HEX(C583:F583,B583,3)</f>
        <v>1148</v>
      </c>
      <c r="C584" s="16" t="s">
        <v>23</v>
      </c>
      <c r="D584" s="16"/>
      <c r="E584" s="16"/>
      <c r="F584" s="16"/>
      <c r="G584" s="46" t="s">
        <v>157</v>
      </c>
      <c r="H584" s="46" t="s">
        <v>212</v>
      </c>
      <c r="I584" s="18" t="s">
        <v>456</v>
      </c>
      <c r="J584" s="18"/>
      <c r="K584" s="18"/>
      <c r="L584" s="25"/>
    </row>
    <row r="585" customHeight="1" spans="1:12">
      <c r="A585" s="14" t="str">
        <f t="shared" si="13"/>
        <v>0x00000480</v>
      </c>
      <c r="B585" s="15">
        <f>SUM_HEX(C584:F584,B584,3)</f>
        <v>1152</v>
      </c>
      <c r="C585" s="16" t="s">
        <v>457</v>
      </c>
      <c r="D585" s="16"/>
      <c r="E585" s="16"/>
      <c r="F585" s="16"/>
      <c r="G585" s="47"/>
      <c r="H585" s="47"/>
      <c r="I585" s="18"/>
      <c r="J585" s="18"/>
      <c r="K585" s="18"/>
      <c r="L585" s="25"/>
    </row>
    <row r="586" customHeight="1" spans="1:12">
      <c r="A586" s="14" t="str">
        <f t="shared" si="13"/>
        <v>0x00000484</v>
      </c>
      <c r="B586" s="15">
        <f>SUM_HEX(C585:F585,B585,3)</f>
        <v>1156</v>
      </c>
      <c r="C586" s="16" t="s">
        <v>23</v>
      </c>
      <c r="D586" s="16" t="s">
        <v>23</v>
      </c>
      <c r="E586" s="16"/>
      <c r="F586" s="16"/>
      <c r="G586" s="47"/>
      <c r="H586" s="47"/>
      <c r="I586" s="18"/>
      <c r="J586" s="18"/>
      <c r="K586" s="18"/>
      <c r="L586" s="25"/>
    </row>
    <row r="587" customHeight="1" spans="1:12">
      <c r="A587" s="14" t="str">
        <f t="shared" si="13"/>
        <v>0x0000048C</v>
      </c>
      <c r="B587" s="15">
        <f>SUM_HEX(C586:F586,B586,3)</f>
        <v>1164</v>
      </c>
      <c r="C587" s="16" t="s">
        <v>274</v>
      </c>
      <c r="D587" s="16"/>
      <c r="E587" s="16"/>
      <c r="F587" s="16"/>
      <c r="G587" s="48"/>
      <c r="H587" s="48"/>
      <c r="I587" s="18"/>
      <c r="J587" s="18"/>
      <c r="K587" s="18"/>
      <c r="L587" s="25"/>
    </row>
    <row r="588" customHeight="1" spans="1:12">
      <c r="A588" s="14" t="str">
        <f t="shared" si="13"/>
        <v>0x00000490</v>
      </c>
      <c r="B588" s="15">
        <f>SUM_HEX(C587:F587,B587,3)</f>
        <v>1168</v>
      </c>
      <c r="C588" s="16" t="s">
        <v>23</v>
      </c>
      <c r="D588" s="16"/>
      <c r="E588" s="16"/>
      <c r="F588" s="16"/>
      <c r="G588" s="46" t="s">
        <v>157</v>
      </c>
      <c r="H588" s="46" t="s">
        <v>212</v>
      </c>
      <c r="I588" s="18" t="s">
        <v>458</v>
      </c>
      <c r="J588" s="18"/>
      <c r="K588" s="18"/>
      <c r="L588" s="25" t="s">
        <v>272</v>
      </c>
    </row>
    <row r="589" customHeight="1" spans="1:12">
      <c r="A589" s="14" t="str">
        <f t="shared" si="13"/>
        <v>0x00000494</v>
      </c>
      <c r="B589" s="15">
        <f>SUM_HEX(C588:F588,B588,3)</f>
        <v>1172</v>
      </c>
      <c r="C589" s="16" t="s">
        <v>459</v>
      </c>
      <c r="D589" s="16"/>
      <c r="E589" s="16"/>
      <c r="F589" s="16"/>
      <c r="G589" s="47"/>
      <c r="H589" s="47"/>
      <c r="I589" s="18"/>
      <c r="J589" s="18"/>
      <c r="K589" s="18"/>
      <c r="L589" s="25"/>
    </row>
    <row r="590" customHeight="1" spans="1:12">
      <c r="A590" s="14" t="str">
        <f t="shared" si="13"/>
        <v>0x00000498</v>
      </c>
      <c r="B590" s="15">
        <f>SUM_HEX(C589:F589,B589,3)</f>
        <v>1176</v>
      </c>
      <c r="C590" s="16" t="s">
        <v>23</v>
      </c>
      <c r="D590" s="16" t="s">
        <v>23</v>
      </c>
      <c r="E590" s="16"/>
      <c r="F590" s="16"/>
      <c r="G590" s="47"/>
      <c r="H590" s="47"/>
      <c r="I590" s="18"/>
      <c r="J590" s="18"/>
      <c r="K590" s="18"/>
      <c r="L590" s="25"/>
    </row>
    <row r="591" customHeight="1" spans="1:12">
      <c r="A591" s="14" t="str">
        <f t="shared" si="13"/>
        <v>0x000004A0</v>
      </c>
      <c r="B591" s="15">
        <f>SUM_HEX(C590:F590,B590,3)</f>
        <v>1184</v>
      </c>
      <c r="C591" s="16" t="s">
        <v>274</v>
      </c>
      <c r="D591" s="16"/>
      <c r="E591" s="16"/>
      <c r="F591" s="16"/>
      <c r="G591" s="48"/>
      <c r="H591" s="48"/>
      <c r="I591" s="18"/>
      <c r="J591" s="18"/>
      <c r="K591" s="18"/>
      <c r="L591" s="25"/>
    </row>
    <row r="592" customHeight="1" spans="1:12">
      <c r="A592" s="14" t="str">
        <f t="shared" si="13"/>
        <v>0x000004A4</v>
      </c>
      <c r="B592" s="15">
        <f>SUM_HEX(C591:F591,B591,3)</f>
        <v>1188</v>
      </c>
      <c r="C592" s="51" t="s">
        <v>23</v>
      </c>
      <c r="D592" s="51"/>
      <c r="E592" s="51"/>
      <c r="F592" s="51"/>
      <c r="G592" s="61" t="s">
        <v>157</v>
      </c>
      <c r="H592" s="61" t="s">
        <v>212</v>
      </c>
      <c r="I592" s="52" t="s">
        <v>460</v>
      </c>
      <c r="J592" s="52"/>
      <c r="K592" s="52"/>
      <c r="L592" s="51"/>
    </row>
    <row r="593" customHeight="1" spans="1:12">
      <c r="A593" s="14" t="str">
        <f t="shared" si="13"/>
        <v>0x000004A4</v>
      </c>
      <c r="B593" s="15">
        <f>SUM_HEX(C592:F592,B592,3)</f>
        <v>1188</v>
      </c>
      <c r="C593" s="51" t="s">
        <v>461</v>
      </c>
      <c r="D593" s="51"/>
      <c r="E593" s="51"/>
      <c r="F593" s="51"/>
      <c r="G593" s="62"/>
      <c r="H593" s="62"/>
      <c r="I593" s="52"/>
      <c r="J593" s="52"/>
      <c r="K593" s="52"/>
      <c r="L593" s="51"/>
    </row>
    <row r="594" customHeight="1" spans="1:12">
      <c r="A594" s="14" t="str">
        <f t="shared" si="13"/>
        <v>0x000004A4</v>
      </c>
      <c r="B594" s="15">
        <f>SUM_HEX(C593:F593,B593,3)</f>
        <v>1188</v>
      </c>
      <c r="C594" s="51" t="s">
        <v>23</v>
      </c>
      <c r="D594" s="51" t="s">
        <v>23</v>
      </c>
      <c r="E594" s="51"/>
      <c r="F594" s="51"/>
      <c r="G594" s="62"/>
      <c r="H594" s="62"/>
      <c r="I594" s="52"/>
      <c r="J594" s="52"/>
      <c r="K594" s="52"/>
      <c r="L594" s="51"/>
    </row>
    <row r="595" customHeight="1" spans="1:12">
      <c r="A595" s="14" t="str">
        <f t="shared" si="13"/>
        <v>0x000004A4</v>
      </c>
      <c r="B595" s="15">
        <f>SUM_HEX(C594:F594,B594,3)</f>
        <v>1188</v>
      </c>
      <c r="C595" s="51" t="s">
        <v>274</v>
      </c>
      <c r="D595" s="51"/>
      <c r="E595" s="51"/>
      <c r="F595" s="51"/>
      <c r="G595" s="63"/>
      <c r="H595" s="63"/>
      <c r="I595" s="52"/>
      <c r="J595" s="52"/>
      <c r="K595" s="52"/>
      <c r="L595" s="51"/>
    </row>
    <row r="596" customHeight="1" spans="1:12">
      <c r="A596" s="14" t="str">
        <f t="shared" si="13"/>
        <v>0x000004A4</v>
      </c>
      <c r="B596" s="15">
        <f>SUM_HEX(C595:F595,B595,3)</f>
        <v>1188</v>
      </c>
      <c r="C596" s="16" t="s">
        <v>462</v>
      </c>
      <c r="D596" s="16"/>
      <c r="E596" s="16"/>
      <c r="F596" s="16"/>
      <c r="G596" s="18" t="s">
        <v>33</v>
      </c>
      <c r="H596" s="18" t="s">
        <v>54</v>
      </c>
      <c r="I596" s="24" t="s">
        <v>463</v>
      </c>
      <c r="J596" s="24" t="s">
        <v>464</v>
      </c>
      <c r="K596" s="18"/>
      <c r="L596" s="25"/>
    </row>
    <row r="597" customHeight="1" spans="1:12">
      <c r="A597" s="14"/>
      <c r="B597" s="15"/>
      <c r="C597" s="16"/>
      <c r="D597" s="16"/>
      <c r="E597" s="16"/>
      <c r="F597" s="16"/>
      <c r="G597" s="18"/>
      <c r="H597" s="18" t="s">
        <v>57</v>
      </c>
      <c r="I597" s="24"/>
      <c r="J597" s="24" t="s">
        <v>465</v>
      </c>
      <c r="K597" s="18"/>
      <c r="L597" s="25"/>
    </row>
    <row r="598" customHeight="1" spans="1:12">
      <c r="A598" s="14"/>
      <c r="B598" s="15"/>
      <c r="C598" s="16"/>
      <c r="D598" s="16"/>
      <c r="E598" s="16"/>
      <c r="F598" s="16"/>
      <c r="G598" s="18"/>
      <c r="H598" s="18" t="s">
        <v>58</v>
      </c>
      <c r="I598" s="24"/>
      <c r="J598" s="24" t="s">
        <v>466</v>
      </c>
      <c r="K598" s="18"/>
      <c r="L598" s="25"/>
    </row>
    <row r="599" customHeight="1" spans="1:12">
      <c r="A599" s="14"/>
      <c r="B599" s="15"/>
      <c r="C599" s="16"/>
      <c r="D599" s="16"/>
      <c r="E599" s="16"/>
      <c r="F599" s="16"/>
      <c r="G599" s="18"/>
      <c r="H599" s="18" t="s">
        <v>59</v>
      </c>
      <c r="I599" s="24"/>
      <c r="J599" s="24" t="s">
        <v>467</v>
      </c>
      <c r="K599" s="18"/>
      <c r="L599" s="25"/>
    </row>
    <row r="600" customHeight="1" spans="1:12">
      <c r="A600" s="14"/>
      <c r="B600" s="15"/>
      <c r="C600" s="16"/>
      <c r="D600" s="16"/>
      <c r="E600" s="16"/>
      <c r="F600" s="16"/>
      <c r="G600" s="18"/>
      <c r="H600" s="18" t="s">
        <v>60</v>
      </c>
      <c r="I600" s="24"/>
      <c r="J600" s="24" t="s">
        <v>468</v>
      </c>
      <c r="K600" s="18"/>
      <c r="L600" s="25"/>
    </row>
    <row r="601" customHeight="1" spans="1:12">
      <c r="A601" s="14"/>
      <c r="B601" s="15"/>
      <c r="C601" s="16"/>
      <c r="D601" s="16"/>
      <c r="E601" s="16"/>
      <c r="F601" s="16"/>
      <c r="G601" s="18"/>
      <c r="H601" s="18" t="s">
        <v>61</v>
      </c>
      <c r="I601" s="24"/>
      <c r="J601" s="18"/>
      <c r="K601" s="18"/>
      <c r="L601" s="25"/>
    </row>
    <row r="602" customHeight="1" spans="1:12">
      <c r="A602" s="14"/>
      <c r="B602" s="15"/>
      <c r="C602" s="16"/>
      <c r="D602" s="16"/>
      <c r="E602" s="16"/>
      <c r="F602" s="16"/>
      <c r="G602" s="18"/>
      <c r="H602" s="18" t="s">
        <v>62</v>
      </c>
      <c r="I602" s="24"/>
      <c r="J602" s="24" t="s">
        <v>469</v>
      </c>
      <c r="K602" s="18"/>
      <c r="L602" s="25"/>
    </row>
    <row r="603" customHeight="1" spans="1:12">
      <c r="A603" s="14"/>
      <c r="B603" s="15"/>
      <c r="C603" s="16"/>
      <c r="D603" s="16"/>
      <c r="E603" s="16"/>
      <c r="F603" s="16"/>
      <c r="G603" s="18"/>
      <c r="H603" s="18" t="s">
        <v>63</v>
      </c>
      <c r="I603" s="24"/>
      <c r="J603" s="24" t="s">
        <v>470</v>
      </c>
      <c r="K603" s="18"/>
      <c r="L603" s="25"/>
    </row>
    <row r="604" customHeight="1" spans="1:12">
      <c r="A604" s="14"/>
      <c r="B604" s="15"/>
      <c r="C604" s="16"/>
      <c r="D604" s="16"/>
      <c r="E604" s="16"/>
      <c r="F604" s="16"/>
      <c r="G604" s="18"/>
      <c r="H604" s="18" t="s">
        <v>64</v>
      </c>
      <c r="I604" s="24"/>
      <c r="J604" s="24" t="s">
        <v>471</v>
      </c>
      <c r="K604" s="18"/>
      <c r="L604" s="25"/>
    </row>
    <row r="605" customHeight="1" spans="1:12">
      <c r="A605" s="14"/>
      <c r="B605" s="15"/>
      <c r="C605" s="16"/>
      <c r="D605" s="16"/>
      <c r="E605" s="16"/>
      <c r="F605" s="16"/>
      <c r="G605" s="18"/>
      <c r="H605" s="18" t="s">
        <v>65</v>
      </c>
      <c r="I605" s="24"/>
      <c r="J605" s="24" t="s">
        <v>472</v>
      </c>
      <c r="K605" s="18"/>
      <c r="L605" s="25"/>
    </row>
    <row r="606" customHeight="1" spans="1:12">
      <c r="A606" s="14"/>
      <c r="B606" s="15"/>
      <c r="C606" s="16"/>
      <c r="D606" s="16"/>
      <c r="E606" s="16"/>
      <c r="F606" s="16"/>
      <c r="G606" s="18"/>
      <c r="H606" s="18" t="s">
        <v>66</v>
      </c>
      <c r="I606" s="24"/>
      <c r="J606" s="24" t="s">
        <v>473</v>
      </c>
      <c r="K606" s="18"/>
      <c r="L606" s="25"/>
    </row>
    <row r="607" customHeight="1" spans="1:12">
      <c r="A607" s="14"/>
      <c r="B607" s="15"/>
      <c r="C607" s="16"/>
      <c r="D607" s="16"/>
      <c r="E607" s="16"/>
      <c r="F607" s="16"/>
      <c r="G607" s="18"/>
      <c r="H607" s="18" t="s">
        <v>67</v>
      </c>
      <c r="I607" s="24"/>
      <c r="J607" s="24" t="s">
        <v>474</v>
      </c>
      <c r="K607" s="18"/>
      <c r="L607" s="25"/>
    </row>
    <row r="608" customHeight="1" spans="1:12">
      <c r="A608" s="14"/>
      <c r="B608" s="15"/>
      <c r="C608" s="16"/>
      <c r="D608" s="16"/>
      <c r="E608" s="16"/>
      <c r="F608" s="16"/>
      <c r="G608" s="18"/>
      <c r="H608" s="18" t="s">
        <v>68</v>
      </c>
      <c r="I608" s="24"/>
      <c r="J608" s="24" t="s">
        <v>475</v>
      </c>
      <c r="K608" s="18"/>
      <c r="L608" s="25"/>
    </row>
    <row r="609" customHeight="1" spans="1:12">
      <c r="A609" s="14"/>
      <c r="B609" s="15"/>
      <c r="C609" s="16"/>
      <c r="D609" s="16"/>
      <c r="E609" s="16"/>
      <c r="F609" s="16"/>
      <c r="G609" s="18"/>
      <c r="H609" s="18" t="s">
        <v>69</v>
      </c>
      <c r="I609" s="24"/>
      <c r="J609" s="24" t="s">
        <v>476</v>
      </c>
      <c r="K609" s="18"/>
      <c r="L609" s="25"/>
    </row>
    <row r="610" customHeight="1" spans="1:12">
      <c r="A610" s="14"/>
      <c r="B610" s="15"/>
      <c r="C610" s="16"/>
      <c r="D610" s="16"/>
      <c r="E610" s="16"/>
      <c r="F610" s="16"/>
      <c r="G610" s="18"/>
      <c r="H610" s="18" t="s">
        <v>70</v>
      </c>
      <c r="I610" s="24"/>
      <c r="J610" s="24" t="s">
        <v>477</v>
      </c>
      <c r="K610" s="18"/>
      <c r="L610" s="25"/>
    </row>
    <row r="611" customHeight="1" spans="1:12">
      <c r="A611" s="14"/>
      <c r="B611" s="15"/>
      <c r="C611" s="16"/>
      <c r="D611" s="16"/>
      <c r="E611" s="16"/>
      <c r="F611" s="16"/>
      <c r="G611" s="18"/>
      <c r="H611" s="18" t="s">
        <v>71</v>
      </c>
      <c r="I611" s="24"/>
      <c r="J611" s="24" t="s">
        <v>478</v>
      </c>
      <c r="K611" s="18"/>
      <c r="L611" s="25"/>
    </row>
    <row r="612" customHeight="1" spans="1:12">
      <c r="A612" s="14"/>
      <c r="B612" s="15"/>
      <c r="C612" s="16"/>
      <c r="D612" s="16"/>
      <c r="E612" s="16"/>
      <c r="F612" s="16"/>
      <c r="G612" s="18"/>
      <c r="H612" s="18" t="s">
        <v>72</v>
      </c>
      <c r="I612" s="24"/>
      <c r="J612" s="24" t="s">
        <v>479</v>
      </c>
      <c r="K612" s="18"/>
      <c r="L612" s="25"/>
    </row>
    <row r="613" customHeight="1" spans="1:12">
      <c r="A613" s="14"/>
      <c r="B613" s="15"/>
      <c r="C613" s="16"/>
      <c r="D613" s="16"/>
      <c r="E613" s="16"/>
      <c r="F613" s="16"/>
      <c r="G613" s="18"/>
      <c r="H613" s="18" t="s">
        <v>73</v>
      </c>
      <c r="I613" s="24"/>
      <c r="J613" s="24" t="s">
        <v>480</v>
      </c>
      <c r="K613" s="18"/>
      <c r="L613" s="25"/>
    </row>
    <row r="614" customHeight="1" spans="1:12">
      <c r="A614" s="14"/>
      <c r="B614" s="15"/>
      <c r="C614" s="16"/>
      <c r="D614" s="16"/>
      <c r="E614" s="16"/>
      <c r="F614" s="16"/>
      <c r="G614" s="18"/>
      <c r="H614" s="18" t="s">
        <v>74</v>
      </c>
      <c r="I614" s="24"/>
      <c r="J614" s="24" t="s">
        <v>481</v>
      </c>
      <c r="K614" s="18"/>
      <c r="L614" s="25"/>
    </row>
    <row r="615" customHeight="1" spans="1:12">
      <c r="A615" s="14"/>
      <c r="B615" s="15"/>
      <c r="C615" s="16"/>
      <c r="D615" s="16"/>
      <c r="E615" s="16"/>
      <c r="F615" s="16"/>
      <c r="G615" s="18"/>
      <c r="H615" s="18" t="s">
        <v>75</v>
      </c>
      <c r="I615" s="24"/>
      <c r="J615" s="24" t="s">
        <v>482</v>
      </c>
      <c r="K615" s="18"/>
      <c r="L615" s="25"/>
    </row>
    <row r="616" customHeight="1" spans="1:12">
      <c r="A616" s="14"/>
      <c r="B616" s="15"/>
      <c r="C616" s="16"/>
      <c r="D616" s="16"/>
      <c r="E616" s="16"/>
      <c r="F616" s="16"/>
      <c r="G616" s="18"/>
      <c r="H616" s="18" t="s">
        <v>76</v>
      </c>
      <c r="I616" s="24"/>
      <c r="J616" s="24" t="s">
        <v>483</v>
      </c>
      <c r="K616" s="18"/>
      <c r="L616" s="25"/>
    </row>
    <row r="617" customHeight="1" spans="1:12">
      <c r="A617" s="14"/>
      <c r="B617" s="15"/>
      <c r="C617" s="16"/>
      <c r="D617" s="16"/>
      <c r="E617" s="16"/>
      <c r="F617" s="16"/>
      <c r="G617" s="18"/>
      <c r="H617" s="18" t="s">
        <v>77</v>
      </c>
      <c r="I617" s="24"/>
      <c r="J617" s="24" t="s">
        <v>484</v>
      </c>
      <c r="K617" s="18"/>
      <c r="L617" s="25"/>
    </row>
    <row r="618" customHeight="1" spans="1:12">
      <c r="A618" s="14"/>
      <c r="B618" s="15"/>
      <c r="C618" s="16"/>
      <c r="D618" s="16"/>
      <c r="E618" s="16"/>
      <c r="F618" s="16"/>
      <c r="G618" s="18"/>
      <c r="H618" s="18" t="s">
        <v>78</v>
      </c>
      <c r="I618" s="24"/>
      <c r="J618" s="24" t="s">
        <v>485</v>
      </c>
      <c r="K618" s="18"/>
      <c r="L618" s="25"/>
    </row>
    <row r="619" customHeight="1" spans="1:12">
      <c r="A619" s="14"/>
      <c r="B619" s="15"/>
      <c r="C619" s="16"/>
      <c r="D619" s="16"/>
      <c r="E619" s="16"/>
      <c r="F619" s="16"/>
      <c r="G619" s="18"/>
      <c r="H619" s="18" t="s">
        <v>79</v>
      </c>
      <c r="I619" s="24"/>
      <c r="J619" s="24" t="s">
        <v>486</v>
      </c>
      <c r="K619" s="18"/>
      <c r="L619" s="25"/>
    </row>
    <row r="620" customHeight="1" spans="1:12">
      <c r="A620" s="14"/>
      <c r="B620" s="15"/>
      <c r="C620" s="16"/>
      <c r="D620" s="16"/>
      <c r="E620" s="16"/>
      <c r="F620" s="16"/>
      <c r="G620" s="18"/>
      <c r="H620" s="18" t="s">
        <v>80</v>
      </c>
      <c r="I620" s="24"/>
      <c r="J620" s="24" t="s">
        <v>487</v>
      </c>
      <c r="K620" s="18"/>
      <c r="L620" s="25"/>
    </row>
    <row r="621" customHeight="1" spans="1:12">
      <c r="A621" s="14"/>
      <c r="B621" s="15"/>
      <c r="C621" s="16"/>
      <c r="D621" s="16"/>
      <c r="E621" s="16"/>
      <c r="F621" s="16"/>
      <c r="G621" s="18"/>
      <c r="H621" s="18" t="s">
        <v>81</v>
      </c>
      <c r="I621" s="24"/>
      <c r="J621" s="24" t="s">
        <v>488</v>
      </c>
      <c r="K621" s="18"/>
      <c r="L621" s="25"/>
    </row>
    <row r="622" customHeight="1" spans="1:12">
      <c r="A622" s="14"/>
      <c r="B622" s="15"/>
      <c r="C622" s="16"/>
      <c r="D622" s="16"/>
      <c r="E622" s="16"/>
      <c r="F622" s="16"/>
      <c r="G622" s="18"/>
      <c r="H622" s="18" t="s">
        <v>82</v>
      </c>
      <c r="I622" s="24"/>
      <c r="J622" s="24" t="s">
        <v>489</v>
      </c>
      <c r="K622" s="18"/>
      <c r="L622" s="25"/>
    </row>
    <row r="623" customHeight="1" spans="1:12">
      <c r="A623" s="14"/>
      <c r="B623" s="15"/>
      <c r="C623" s="16"/>
      <c r="D623" s="16"/>
      <c r="E623" s="16"/>
      <c r="F623" s="16"/>
      <c r="G623" s="18"/>
      <c r="H623" s="18" t="s">
        <v>83</v>
      </c>
      <c r="I623" s="24"/>
      <c r="J623" s="24"/>
      <c r="K623" s="18"/>
      <c r="L623" s="25"/>
    </row>
    <row r="624" customHeight="1" spans="1:12">
      <c r="A624" s="14"/>
      <c r="B624" s="15"/>
      <c r="C624" s="16"/>
      <c r="D624" s="16"/>
      <c r="E624" s="16"/>
      <c r="F624" s="16"/>
      <c r="G624" s="18"/>
      <c r="H624" s="18" t="s">
        <v>84</v>
      </c>
      <c r="I624" s="24"/>
      <c r="J624" s="24" t="s">
        <v>490</v>
      </c>
      <c r="K624" s="18"/>
      <c r="L624" s="25"/>
    </row>
    <row r="625" customHeight="1" spans="1:12">
      <c r="A625" s="14"/>
      <c r="B625" s="15"/>
      <c r="C625" s="16"/>
      <c r="D625" s="16"/>
      <c r="E625" s="16"/>
      <c r="F625" s="16"/>
      <c r="G625" s="18"/>
      <c r="H625" s="18" t="s">
        <v>85</v>
      </c>
      <c r="I625" s="24"/>
      <c r="J625" s="24" t="s">
        <v>491</v>
      </c>
      <c r="K625" s="18"/>
      <c r="L625" s="25"/>
    </row>
    <row r="626" customHeight="1" spans="1:12">
      <c r="A626" s="14"/>
      <c r="B626" s="15"/>
      <c r="C626" s="16"/>
      <c r="D626" s="16"/>
      <c r="E626" s="16"/>
      <c r="F626" s="16"/>
      <c r="G626" s="18"/>
      <c r="H626" s="18" t="s">
        <v>86</v>
      </c>
      <c r="I626" s="24"/>
      <c r="J626" s="24" t="s">
        <v>492</v>
      </c>
      <c r="K626" s="18"/>
      <c r="L626" s="25"/>
    </row>
    <row r="627" customHeight="1" spans="1:12">
      <c r="A627" s="14"/>
      <c r="B627" s="15"/>
      <c r="C627" s="16"/>
      <c r="D627" s="16"/>
      <c r="E627" s="16"/>
      <c r="F627" s="16"/>
      <c r="G627" s="18"/>
      <c r="H627" s="18" t="s">
        <v>87</v>
      </c>
      <c r="I627" s="24"/>
      <c r="J627" s="24"/>
      <c r="K627" s="18"/>
      <c r="L627" s="25"/>
    </row>
    <row r="628" customHeight="1" spans="1:12">
      <c r="A628" s="14"/>
      <c r="B628" s="15">
        <f>SUM_HEX(C596:F627,B596,3)</f>
        <v>1192</v>
      </c>
      <c r="C628" s="53" t="s">
        <v>23</v>
      </c>
      <c r="D628" s="53"/>
      <c r="E628" s="53"/>
      <c r="F628" s="53"/>
      <c r="G628" s="64"/>
      <c r="H628" s="65"/>
      <c r="I628" s="58"/>
      <c r="J628" s="58"/>
      <c r="K628" s="54"/>
      <c r="L628" s="53"/>
    </row>
    <row r="629" customHeight="1" spans="1:12">
      <c r="A629" s="14" t="str">
        <f>"0x"&amp;DEC2HEX(B629,8)</f>
        <v>0x000004AC</v>
      </c>
      <c r="B629" s="15">
        <f>SUM_HEX(C628:F628,B628,3)</f>
        <v>1196</v>
      </c>
      <c r="C629" s="16" t="s">
        <v>493</v>
      </c>
      <c r="D629" s="16"/>
      <c r="E629" s="16"/>
      <c r="F629" s="16"/>
      <c r="G629" s="18" t="s">
        <v>33</v>
      </c>
      <c r="H629" s="18" t="s">
        <v>54</v>
      </c>
      <c r="I629" s="24" t="s">
        <v>494</v>
      </c>
      <c r="J629" s="18" t="s">
        <v>495</v>
      </c>
      <c r="K629" s="18"/>
      <c r="L629" s="25"/>
    </row>
    <row r="630" customHeight="1" spans="1:12">
      <c r="A630" s="14"/>
      <c r="B630" s="15"/>
      <c r="C630" s="16"/>
      <c r="D630" s="16"/>
      <c r="E630" s="16"/>
      <c r="F630" s="16"/>
      <c r="G630" s="18"/>
      <c r="H630" s="18" t="s">
        <v>57</v>
      </c>
      <c r="I630" s="24"/>
      <c r="J630" s="18" t="s">
        <v>496</v>
      </c>
      <c r="K630" s="18"/>
      <c r="L630" s="25"/>
    </row>
    <row r="631" customHeight="1" spans="1:12">
      <c r="A631" s="14"/>
      <c r="B631" s="15"/>
      <c r="C631" s="16"/>
      <c r="D631" s="16"/>
      <c r="E631" s="16"/>
      <c r="F631" s="16"/>
      <c r="G631" s="18"/>
      <c r="H631" s="18" t="s">
        <v>58</v>
      </c>
      <c r="I631" s="24"/>
      <c r="J631" s="18" t="s">
        <v>497</v>
      </c>
      <c r="K631" s="18"/>
      <c r="L631" s="25"/>
    </row>
    <row r="632" customHeight="1" spans="1:12">
      <c r="A632" s="14"/>
      <c r="B632" s="15"/>
      <c r="C632" s="16"/>
      <c r="D632" s="16"/>
      <c r="E632" s="16"/>
      <c r="F632" s="16"/>
      <c r="G632" s="18"/>
      <c r="H632" s="18" t="s">
        <v>59</v>
      </c>
      <c r="I632" s="24"/>
      <c r="J632" s="18" t="s">
        <v>498</v>
      </c>
      <c r="K632" s="18"/>
      <c r="L632" s="25"/>
    </row>
    <row r="633" customHeight="1" spans="1:12">
      <c r="A633" s="14"/>
      <c r="B633" s="15"/>
      <c r="C633" s="16"/>
      <c r="D633" s="16"/>
      <c r="E633" s="16"/>
      <c r="F633" s="16"/>
      <c r="G633" s="18"/>
      <c r="H633" s="18" t="s">
        <v>60</v>
      </c>
      <c r="I633" s="24"/>
      <c r="J633" s="18" t="s">
        <v>500</v>
      </c>
      <c r="K633" s="18"/>
      <c r="L633" s="25"/>
    </row>
    <row r="634" customHeight="1" spans="1:12">
      <c r="A634" s="14"/>
      <c r="B634" s="15"/>
      <c r="C634" s="16"/>
      <c r="D634" s="16"/>
      <c r="E634" s="16"/>
      <c r="F634" s="16"/>
      <c r="G634" s="18"/>
      <c r="H634" s="18" t="s">
        <v>61</v>
      </c>
      <c r="I634" s="24"/>
      <c r="J634" s="18" t="s">
        <v>500</v>
      </c>
      <c r="K634" s="18"/>
      <c r="L634" s="25"/>
    </row>
    <row r="635" customHeight="1" spans="1:12">
      <c r="A635" s="14"/>
      <c r="B635" s="15"/>
      <c r="C635" s="16"/>
      <c r="D635" s="16"/>
      <c r="E635" s="16"/>
      <c r="F635" s="16"/>
      <c r="G635" s="18"/>
      <c r="H635" s="18" t="s">
        <v>62</v>
      </c>
      <c r="I635" s="24"/>
      <c r="J635" s="18"/>
      <c r="K635" s="18"/>
      <c r="L635" s="25"/>
    </row>
    <row r="636" customHeight="1" spans="1:12">
      <c r="A636" s="14"/>
      <c r="B636" s="15"/>
      <c r="C636" s="16"/>
      <c r="D636" s="16"/>
      <c r="E636" s="16"/>
      <c r="F636" s="16"/>
      <c r="G636" s="18"/>
      <c r="H636" s="18" t="s">
        <v>63</v>
      </c>
      <c r="I636" s="24"/>
      <c r="J636" s="18" t="s">
        <v>501</v>
      </c>
      <c r="K636" s="18"/>
      <c r="L636" s="25"/>
    </row>
    <row r="637" customHeight="1" spans="1:12">
      <c r="A637" s="14" t="str">
        <f>"0x"&amp;DEC2HEX(B637,8)</f>
        <v>0x000004B0</v>
      </c>
      <c r="B637" s="15">
        <f>SUM_HEX(C629:F636,B629,3)</f>
        <v>1200</v>
      </c>
      <c r="C637" s="53" t="s">
        <v>23</v>
      </c>
      <c r="D637" s="53"/>
      <c r="E637" s="53"/>
      <c r="F637" s="53"/>
      <c r="G637" s="54"/>
      <c r="H637" s="54"/>
      <c r="I637" s="58"/>
      <c r="J637" s="54"/>
      <c r="K637" s="54"/>
      <c r="L637" s="53"/>
    </row>
    <row r="638" customHeight="1" spans="1:12">
      <c r="A638" s="14" t="str">
        <f>"0x"&amp;DEC2HEX(B638,8)</f>
        <v>0x000004B4</v>
      </c>
      <c r="B638" s="15">
        <f>SUM_HEX(C637:F637,B637,3)</f>
        <v>1204</v>
      </c>
      <c r="C638" s="51" t="s">
        <v>23</v>
      </c>
      <c r="D638" s="51"/>
      <c r="E638" s="51"/>
      <c r="F638" s="51"/>
      <c r="G638" s="52" t="s">
        <v>15</v>
      </c>
      <c r="H638" s="52"/>
      <c r="I638" s="57" t="s">
        <v>502</v>
      </c>
      <c r="J638" s="52"/>
      <c r="K638" s="52" t="s">
        <v>372</v>
      </c>
      <c r="L638" s="51"/>
    </row>
    <row r="639" customHeight="1" spans="1:12">
      <c r="A639" s="14" t="str">
        <f>"0x"&amp;DEC2HEX(B639,8)</f>
        <v>0x000004B4</v>
      </c>
      <c r="B639" s="15">
        <f>SUM_HEX(C638:F638,B638,3)</f>
        <v>1204</v>
      </c>
      <c r="C639" s="51" t="s">
        <v>23</v>
      </c>
      <c r="D639" s="51"/>
      <c r="E639" s="51"/>
      <c r="F639" s="51"/>
      <c r="G639" s="52" t="s">
        <v>15</v>
      </c>
      <c r="H639" s="52"/>
      <c r="I639" s="57" t="s">
        <v>503</v>
      </c>
      <c r="J639" s="52"/>
      <c r="K639" s="52" t="s">
        <v>372</v>
      </c>
      <c r="L639" s="51"/>
    </row>
    <row r="640" customHeight="1" spans="1:12">
      <c r="A640" s="14" t="str">
        <f>"0x"&amp;DEC2HEX(B640,8)</f>
        <v>0x000004B4</v>
      </c>
      <c r="B640" s="15">
        <f>SUM_HEX(C639:F639,B639,3)</f>
        <v>1204</v>
      </c>
      <c r="C640" s="51" t="s">
        <v>23</v>
      </c>
      <c r="D640" s="51"/>
      <c r="E640" s="51"/>
      <c r="F640" s="51"/>
      <c r="G640" s="52" t="s">
        <v>15</v>
      </c>
      <c r="H640" s="52"/>
      <c r="I640" s="57" t="s">
        <v>504</v>
      </c>
      <c r="J640" s="52"/>
      <c r="K640" s="52" t="s">
        <v>372</v>
      </c>
      <c r="L640" s="51"/>
    </row>
    <row r="641" customHeight="1" spans="1:12">
      <c r="A641" s="14" t="str">
        <f>"0x"&amp;DEC2HEX(B641,8)</f>
        <v>0x000004B4</v>
      </c>
      <c r="B641" s="15">
        <f>SUM_HEX(C640:F640,B640,3)</f>
        <v>1204</v>
      </c>
      <c r="C641" s="51" t="s">
        <v>23</v>
      </c>
      <c r="D641" s="51"/>
      <c r="E641" s="51"/>
      <c r="F641" s="51"/>
      <c r="G641" s="61" t="s">
        <v>157</v>
      </c>
      <c r="H641" s="61" t="s">
        <v>212</v>
      </c>
      <c r="I641" s="52" t="s">
        <v>505</v>
      </c>
      <c r="J641" s="52"/>
      <c r="K641" s="52"/>
      <c r="L641" s="51"/>
    </row>
    <row r="642" customHeight="1" spans="1:12">
      <c r="A642" s="14" t="str">
        <f t="shared" ref="A641:A683" si="14">"0x"&amp;DEC2HEX(B642,8)</f>
        <v>0x000004B4</v>
      </c>
      <c r="B642" s="15">
        <f>SUM_HEX(C641:F641,B641,3)</f>
        <v>1204</v>
      </c>
      <c r="C642" s="51" t="s">
        <v>506</v>
      </c>
      <c r="D642" s="51"/>
      <c r="E642" s="51"/>
      <c r="F642" s="51"/>
      <c r="G642" s="62"/>
      <c r="H642" s="62"/>
      <c r="I642" s="52"/>
      <c r="J642" s="52"/>
      <c r="K642" s="52"/>
      <c r="L642" s="51"/>
    </row>
    <row r="643" customHeight="1" spans="1:12">
      <c r="A643" s="14" t="str">
        <f t="shared" si="14"/>
        <v>0x000004B4</v>
      </c>
      <c r="B643" s="15">
        <f>SUM_HEX(C642:F642,B642,3)</f>
        <v>1204</v>
      </c>
      <c r="C643" s="51" t="s">
        <v>507</v>
      </c>
      <c r="D643" s="51" t="s">
        <v>23</v>
      </c>
      <c r="E643" s="51"/>
      <c r="F643" s="51"/>
      <c r="G643" s="62"/>
      <c r="H643" s="62"/>
      <c r="I643" s="52"/>
      <c r="J643" s="52"/>
      <c r="K643" s="52"/>
      <c r="L643" s="51"/>
    </row>
    <row r="644" customHeight="1" spans="1:12">
      <c r="A644" s="14" t="str">
        <f t="shared" si="14"/>
        <v>0x000004B4</v>
      </c>
      <c r="B644" s="15">
        <f>SUM_HEX(C643:F643,B643,3)</f>
        <v>1204</v>
      </c>
      <c r="C644" s="51" t="s">
        <v>274</v>
      </c>
      <c r="D644" s="51"/>
      <c r="E644" s="51"/>
      <c r="F644" s="51"/>
      <c r="G644" s="63"/>
      <c r="H644" s="63"/>
      <c r="I644" s="52"/>
      <c r="J644" s="52"/>
      <c r="K644" s="52"/>
      <c r="L644" s="51"/>
    </row>
    <row r="645" customHeight="1" spans="1:12">
      <c r="A645" s="14" t="str">
        <f t="shared" si="14"/>
        <v>0x000004B4</v>
      </c>
      <c r="B645" s="15">
        <f>SUM_HEX(C644:F644,B644,3)</f>
        <v>1204</v>
      </c>
      <c r="C645" s="51" t="s">
        <v>23</v>
      </c>
      <c r="D645" s="51"/>
      <c r="E645" s="51"/>
      <c r="F645" s="51"/>
      <c r="G645" s="61" t="s">
        <v>157</v>
      </c>
      <c r="H645" s="61" t="s">
        <v>508</v>
      </c>
      <c r="I645" s="57" t="s">
        <v>509</v>
      </c>
      <c r="J645" s="52"/>
      <c r="K645" s="52"/>
      <c r="L645" s="51"/>
    </row>
    <row r="646" customHeight="1" spans="1:12">
      <c r="A646" s="14" t="str">
        <f t="shared" si="14"/>
        <v>0x000004B4</v>
      </c>
      <c r="B646" s="15">
        <f>SUM_HEX(C645:F645,B645,3)</f>
        <v>1204</v>
      </c>
      <c r="C646" s="51" t="s">
        <v>510</v>
      </c>
      <c r="D646" s="51"/>
      <c r="E646" s="51"/>
      <c r="F646" s="51"/>
      <c r="G646" s="62"/>
      <c r="H646" s="62"/>
      <c r="I646" s="52"/>
      <c r="J646" s="52"/>
      <c r="K646" s="52"/>
      <c r="L646" s="51"/>
    </row>
    <row r="647" customHeight="1" spans="1:12">
      <c r="A647" s="14" t="str">
        <f t="shared" si="14"/>
        <v>0x000004B4</v>
      </c>
      <c r="B647" s="15">
        <f>SUM_HEX(C646:F646,B646,3)</f>
        <v>1204</v>
      </c>
      <c r="C647" s="51" t="s">
        <v>23</v>
      </c>
      <c r="D647" s="51" t="s">
        <v>23</v>
      </c>
      <c r="E647" s="51"/>
      <c r="F647" s="51"/>
      <c r="G647" s="62"/>
      <c r="H647" s="62"/>
      <c r="I647" s="52"/>
      <c r="J647" s="52"/>
      <c r="K647" s="52"/>
      <c r="L647" s="51"/>
    </row>
    <row r="648" customHeight="1" spans="1:12">
      <c r="A648" s="14" t="str">
        <f t="shared" si="14"/>
        <v>0x000004B4</v>
      </c>
      <c r="B648" s="15">
        <f>SUM_HEX(C647:F647,B647,3)</f>
        <v>1204</v>
      </c>
      <c r="C648" s="51" t="s">
        <v>23</v>
      </c>
      <c r="D648" s="51" t="s">
        <v>23</v>
      </c>
      <c r="E648" s="51"/>
      <c r="F648" s="51"/>
      <c r="G648" s="62"/>
      <c r="H648" s="62"/>
      <c r="I648" s="52"/>
      <c r="J648" s="52"/>
      <c r="K648" s="52"/>
      <c r="L648" s="51"/>
    </row>
    <row r="649" customHeight="1" spans="1:12">
      <c r="A649" s="14" t="str">
        <f t="shared" si="14"/>
        <v>0x000004B4</v>
      </c>
      <c r="B649" s="15">
        <f>SUM_HEX(C648:F648,B648,3)</f>
        <v>1204</v>
      </c>
      <c r="C649" s="51" t="s">
        <v>274</v>
      </c>
      <c r="D649" s="51"/>
      <c r="E649" s="51"/>
      <c r="F649" s="51"/>
      <c r="G649" s="63"/>
      <c r="H649" s="63"/>
      <c r="I649" s="52"/>
      <c r="J649" s="52"/>
      <c r="K649" s="52"/>
      <c r="L649" s="51"/>
    </row>
    <row r="650" customHeight="1" spans="1:12">
      <c r="A650" s="14" t="str">
        <f t="shared" si="14"/>
        <v>0x000004B4</v>
      </c>
      <c r="B650" s="15">
        <f>SUM_HEX(C649:F649,B649,3)</f>
        <v>1204</v>
      </c>
      <c r="C650" s="51" t="s">
        <v>23</v>
      </c>
      <c r="D650" s="51"/>
      <c r="E650" s="51"/>
      <c r="F650" s="51"/>
      <c r="G650" s="61" t="s">
        <v>157</v>
      </c>
      <c r="H650" s="61" t="s">
        <v>326</v>
      </c>
      <c r="I650" s="57" t="s">
        <v>511</v>
      </c>
      <c r="J650" s="52"/>
      <c r="K650" s="52" t="s">
        <v>512</v>
      </c>
      <c r="L650" s="51" t="s">
        <v>333</v>
      </c>
    </row>
    <row r="651" customHeight="1" spans="1:12">
      <c r="A651" s="14" t="str">
        <f t="shared" si="14"/>
        <v>0x000004B4</v>
      </c>
      <c r="B651" s="15">
        <f>SUM_HEX(C650:F650,B650,3)</f>
        <v>1204</v>
      </c>
      <c r="C651" s="51" t="s">
        <v>513</v>
      </c>
      <c r="D651" s="51"/>
      <c r="E651" s="51"/>
      <c r="F651" s="51"/>
      <c r="G651" s="62"/>
      <c r="H651" s="62"/>
      <c r="I651" s="52"/>
      <c r="J651" s="52"/>
      <c r="K651" s="52"/>
      <c r="L651" s="51"/>
    </row>
    <row r="652" customHeight="1" spans="1:12">
      <c r="A652" s="14" t="str">
        <f t="shared" si="14"/>
        <v>0x000004B4</v>
      </c>
      <c r="B652" s="15">
        <f>SUM_HEX(C651:F651,B651,3)</f>
        <v>1204</v>
      </c>
      <c r="C652" s="51" t="s">
        <v>23</v>
      </c>
      <c r="D652" s="51" t="s">
        <v>23</v>
      </c>
      <c r="E652" s="51" t="s">
        <v>23</v>
      </c>
      <c r="F652" s="51"/>
      <c r="G652" s="62"/>
      <c r="H652" s="62"/>
      <c r="I652" s="52"/>
      <c r="J652" s="52"/>
      <c r="K652" s="52"/>
      <c r="L652" s="51"/>
    </row>
    <row r="653" customHeight="1" spans="1:12">
      <c r="A653" s="14" t="str">
        <f t="shared" si="14"/>
        <v>0x000004B4</v>
      </c>
      <c r="B653" s="15">
        <f>SUM_HEX(C652:F652,B652,3)</f>
        <v>1204</v>
      </c>
      <c r="C653" s="51" t="s">
        <v>23</v>
      </c>
      <c r="D653" s="51" t="s">
        <v>23</v>
      </c>
      <c r="E653" s="51" t="s">
        <v>23</v>
      </c>
      <c r="F653" s="51"/>
      <c r="G653" s="62"/>
      <c r="H653" s="62"/>
      <c r="I653" s="52"/>
      <c r="J653" s="52"/>
      <c r="K653" s="52"/>
      <c r="L653" s="51"/>
    </row>
    <row r="654" customHeight="1" spans="1:12">
      <c r="A654" s="14" t="str">
        <f t="shared" si="14"/>
        <v>0x000004B4</v>
      </c>
      <c r="B654" s="15">
        <f>SUM_HEX(C653:F653,B653,3)</f>
        <v>1204</v>
      </c>
      <c r="C654" s="51" t="s">
        <v>274</v>
      </c>
      <c r="D654" s="51"/>
      <c r="E654" s="51"/>
      <c r="F654" s="51"/>
      <c r="G654" s="63"/>
      <c r="H654" s="63"/>
      <c r="I654" s="52"/>
      <c r="J654" s="52"/>
      <c r="K654" s="52"/>
      <c r="L654" s="51"/>
    </row>
    <row r="655" customHeight="1" spans="1:12">
      <c r="A655" s="14" t="str">
        <f t="shared" si="14"/>
        <v>0x000004B4</v>
      </c>
      <c r="B655" s="15">
        <f>SUM_HEX(C654:F654,B654,3)</f>
        <v>1204</v>
      </c>
      <c r="C655" s="51" t="s">
        <v>23</v>
      </c>
      <c r="D655" s="51"/>
      <c r="E655" s="51"/>
      <c r="F655" s="51"/>
      <c r="G655" s="61" t="s">
        <v>157</v>
      </c>
      <c r="H655" s="61" t="s">
        <v>508</v>
      </c>
      <c r="I655" s="57" t="s">
        <v>514</v>
      </c>
      <c r="J655" s="52"/>
      <c r="K655" s="52"/>
      <c r="L655" s="51"/>
    </row>
    <row r="656" customHeight="1" spans="1:12">
      <c r="A656" s="14" t="str">
        <f t="shared" si="14"/>
        <v>0x000004B4</v>
      </c>
      <c r="B656" s="15">
        <f>SUM_HEX(C655:F655,B655,3)</f>
        <v>1204</v>
      </c>
      <c r="C656" s="51" t="s">
        <v>515</v>
      </c>
      <c r="D656" s="51"/>
      <c r="E656" s="51"/>
      <c r="F656" s="51"/>
      <c r="G656" s="62"/>
      <c r="H656" s="62"/>
      <c r="I656" s="52"/>
      <c r="J656" s="52"/>
      <c r="K656" s="52"/>
      <c r="L656" s="51"/>
    </row>
    <row r="657" customHeight="1" spans="1:12">
      <c r="A657" s="14" t="str">
        <f t="shared" si="14"/>
        <v>0x000004B4</v>
      </c>
      <c r="B657" s="15">
        <f>SUM_HEX(C656:F656,B656,3)</f>
        <v>1204</v>
      </c>
      <c r="C657" s="51" t="s">
        <v>148</v>
      </c>
      <c r="D657" s="51" t="s">
        <v>148</v>
      </c>
      <c r="E657" s="51"/>
      <c r="F657" s="51"/>
      <c r="G657" s="62"/>
      <c r="H657" s="62"/>
      <c r="I657" s="52"/>
      <c r="J657" s="52"/>
      <c r="K657" s="52"/>
      <c r="L657" s="51"/>
    </row>
    <row r="658" customHeight="1" spans="1:12">
      <c r="A658" s="14" t="str">
        <f t="shared" si="14"/>
        <v>0x000004B4</v>
      </c>
      <c r="B658" s="15">
        <f>SUM_HEX(C657:F657,B657,3)</f>
        <v>1204</v>
      </c>
      <c r="C658" s="51" t="s">
        <v>148</v>
      </c>
      <c r="D658" s="51" t="s">
        <v>148</v>
      </c>
      <c r="E658" s="51"/>
      <c r="F658" s="51"/>
      <c r="G658" s="62"/>
      <c r="H658" s="62"/>
      <c r="I658" s="52"/>
      <c r="J658" s="52"/>
      <c r="K658" s="52"/>
      <c r="L658" s="51"/>
    </row>
    <row r="659" customHeight="1" spans="1:12">
      <c r="A659" s="14" t="str">
        <f t="shared" si="14"/>
        <v>0x000004B4</v>
      </c>
      <c r="B659" s="15">
        <f>SUM_HEX(C658:F658,B658,3)</f>
        <v>1204</v>
      </c>
      <c r="C659" s="51" t="s">
        <v>274</v>
      </c>
      <c r="D659" s="51"/>
      <c r="E659" s="51"/>
      <c r="F659" s="51"/>
      <c r="G659" s="63"/>
      <c r="H659" s="63"/>
      <c r="I659" s="52"/>
      <c r="J659" s="52"/>
      <c r="K659" s="52"/>
      <c r="L659" s="51"/>
    </row>
    <row r="660" customHeight="1" spans="1:12">
      <c r="A660" s="14" t="str">
        <f t="shared" si="14"/>
        <v>0x000004B4</v>
      </c>
      <c r="B660" s="15">
        <f>SUM_HEX(C659:F659,B659,3)</f>
        <v>1204</v>
      </c>
      <c r="C660" s="51" t="s">
        <v>23</v>
      </c>
      <c r="D660" s="51" t="s">
        <v>23</v>
      </c>
      <c r="E660" s="51" t="s">
        <v>23</v>
      </c>
      <c r="F660" s="51"/>
      <c r="G660" s="52" t="s">
        <v>24</v>
      </c>
      <c r="H660" s="52" t="s">
        <v>537</v>
      </c>
      <c r="I660" s="57" t="s">
        <v>517</v>
      </c>
      <c r="J660" s="52"/>
      <c r="K660" s="52" t="s">
        <v>405</v>
      </c>
      <c r="L660" s="51" t="s">
        <v>280</v>
      </c>
    </row>
    <row r="661" customHeight="1" spans="1:12">
      <c r="A661" s="14" t="str">
        <f t="shared" si="14"/>
        <v>0x000004B4</v>
      </c>
      <c r="B661" s="15">
        <f>SUM_HEX(C660:F660,B660,3)</f>
        <v>1204</v>
      </c>
      <c r="C661" s="16" t="s">
        <v>23</v>
      </c>
      <c r="D661" s="16"/>
      <c r="E661" s="16"/>
      <c r="F661" s="16"/>
      <c r="G661" s="18" t="s">
        <v>212</v>
      </c>
      <c r="H661" s="18"/>
      <c r="I661" s="24" t="s">
        <v>518</v>
      </c>
      <c r="J661" s="18"/>
      <c r="K661" s="18"/>
      <c r="L661" s="25"/>
    </row>
    <row r="662" customHeight="1" spans="1:12">
      <c r="A662" s="14" t="str">
        <f t="shared" si="14"/>
        <v>0x000004B8</v>
      </c>
      <c r="B662" s="15">
        <f>SUM_HEX(C661:F661,B661,3)</f>
        <v>1208</v>
      </c>
      <c r="C662" s="16" t="s">
        <v>29</v>
      </c>
      <c r="D662" s="16"/>
      <c r="E662" s="16"/>
      <c r="F662" s="16"/>
      <c r="G662" s="18" t="s">
        <v>15</v>
      </c>
      <c r="H662" s="18"/>
      <c r="I662" s="24" t="s">
        <v>519</v>
      </c>
      <c r="J662" s="18"/>
      <c r="K662" s="18" t="s">
        <v>520</v>
      </c>
      <c r="L662" s="25"/>
    </row>
    <row r="663" customHeight="1" spans="1:12">
      <c r="A663" s="14" t="str">
        <f t="shared" si="14"/>
        <v>0x000004BC</v>
      </c>
      <c r="B663" s="15">
        <f>SUM_HEX(C662:F662,B662,3)</f>
        <v>1212</v>
      </c>
      <c r="C663" s="16" t="s">
        <v>23</v>
      </c>
      <c r="D663" s="16"/>
      <c r="E663" s="16"/>
      <c r="F663" s="16"/>
      <c r="G663" s="18" t="s">
        <v>15</v>
      </c>
      <c r="H663" s="18"/>
      <c r="I663" s="24" t="s">
        <v>521</v>
      </c>
      <c r="J663" s="18"/>
      <c r="K663" s="18" t="s">
        <v>520</v>
      </c>
      <c r="L663" s="25"/>
    </row>
    <row r="664" customHeight="1" spans="1:12">
      <c r="A664" s="14" t="str">
        <f t="shared" si="14"/>
        <v>0x000004C0</v>
      </c>
      <c r="B664" s="15">
        <f>SUM_HEX(C663:F663,B663,3)</f>
        <v>1216</v>
      </c>
      <c r="C664" s="16" t="s">
        <v>23</v>
      </c>
      <c r="D664" s="16"/>
      <c r="E664" s="16"/>
      <c r="F664" s="16"/>
      <c r="G664" s="46" t="s">
        <v>157</v>
      </c>
      <c r="H664" s="46" t="s">
        <v>212</v>
      </c>
      <c r="I664" s="18" t="s">
        <v>522</v>
      </c>
      <c r="J664" s="18"/>
      <c r="K664" s="18"/>
      <c r="L664" s="25"/>
    </row>
    <row r="665" customHeight="1" spans="1:12">
      <c r="A665" s="14" t="str">
        <f t="shared" si="14"/>
        <v>0x000004C4</v>
      </c>
      <c r="B665" s="15">
        <f>SUM_HEX(C664:F664,B664,3)</f>
        <v>1220</v>
      </c>
      <c r="C665" s="16" t="s">
        <v>523</v>
      </c>
      <c r="D665" s="16"/>
      <c r="E665" s="16"/>
      <c r="F665" s="16"/>
      <c r="G665" s="47"/>
      <c r="H665" s="47"/>
      <c r="I665" s="18"/>
      <c r="J665" s="18"/>
      <c r="K665" s="18"/>
      <c r="L665" s="25"/>
    </row>
    <row r="666" customHeight="1" spans="1:12">
      <c r="A666" s="14" t="str">
        <f t="shared" si="14"/>
        <v>0x000004C8</v>
      </c>
      <c r="B666" s="15">
        <f>SUM_HEX(C665:F665,B665,3)</f>
        <v>1224</v>
      </c>
      <c r="C666" s="16" t="s">
        <v>23</v>
      </c>
      <c r="D666" s="16" t="s">
        <v>23</v>
      </c>
      <c r="E666" s="16"/>
      <c r="F666" s="16"/>
      <c r="G666" s="47"/>
      <c r="H666" s="47"/>
      <c r="I666" s="18"/>
      <c r="J666" s="18"/>
      <c r="K666" s="18"/>
      <c r="L666" s="25"/>
    </row>
    <row r="667" customHeight="1" spans="1:12">
      <c r="A667" s="14" t="str">
        <f t="shared" si="14"/>
        <v>0x000004D0</v>
      </c>
      <c r="B667" s="15">
        <f>SUM_HEX(C666:F666,B666,3)</f>
        <v>1232</v>
      </c>
      <c r="C667" s="16" t="s">
        <v>274</v>
      </c>
      <c r="D667" s="16"/>
      <c r="E667" s="16"/>
      <c r="F667" s="16"/>
      <c r="G667" s="48"/>
      <c r="H667" s="48"/>
      <c r="I667" s="18"/>
      <c r="J667" s="18"/>
      <c r="K667" s="18"/>
      <c r="L667" s="25"/>
    </row>
    <row r="668" customHeight="1" spans="1:12">
      <c r="A668" s="14" t="str">
        <f t="shared" si="14"/>
        <v>0x000004D4</v>
      </c>
      <c r="B668" s="15">
        <f>SUM_HEX(C667:F667,B667,3)</f>
        <v>1236</v>
      </c>
      <c r="C668" s="16" t="s">
        <v>23</v>
      </c>
      <c r="D668" s="16"/>
      <c r="E668" s="16"/>
      <c r="F668" s="16"/>
      <c r="G668" s="46" t="s">
        <v>157</v>
      </c>
      <c r="H668" s="46" t="s">
        <v>212</v>
      </c>
      <c r="I668" s="18" t="s">
        <v>524</v>
      </c>
      <c r="J668" s="18"/>
      <c r="K668" s="18"/>
      <c r="L668" s="25"/>
    </row>
    <row r="669" customHeight="1" spans="1:12">
      <c r="A669" s="14" t="str">
        <f t="shared" si="14"/>
        <v>0x000004D8</v>
      </c>
      <c r="B669" s="15">
        <f>SUM_HEX(C668:F668,B668,3)</f>
        <v>1240</v>
      </c>
      <c r="C669" s="16" t="s">
        <v>525</v>
      </c>
      <c r="D669" s="16"/>
      <c r="E669" s="16"/>
      <c r="F669" s="16"/>
      <c r="G669" s="47"/>
      <c r="H669" s="47"/>
      <c r="I669" s="18"/>
      <c r="J669" s="18"/>
      <c r="K669" s="18"/>
      <c r="L669" s="25"/>
    </row>
    <row r="670" customHeight="1" spans="1:12">
      <c r="A670" s="14" t="str">
        <f t="shared" si="14"/>
        <v>0x000004DC</v>
      </c>
      <c r="B670" s="15">
        <f>SUM_HEX(C669:F669,B669,3)</f>
        <v>1244</v>
      </c>
      <c r="C670" s="16" t="s">
        <v>148</v>
      </c>
      <c r="D670" s="16" t="s">
        <v>23</v>
      </c>
      <c r="E670" s="16"/>
      <c r="F670" s="16"/>
      <c r="G670" s="47"/>
      <c r="H670" s="47"/>
      <c r="I670" s="18"/>
      <c r="J670" s="18"/>
      <c r="K670" s="18"/>
      <c r="L670" s="25"/>
    </row>
    <row r="671" customHeight="1" spans="1:12">
      <c r="A671" s="14" t="str">
        <f t="shared" si="14"/>
        <v>0x000004E4</v>
      </c>
      <c r="B671" s="15">
        <f>SUM_HEX(C670:F670,B670,3)</f>
        <v>1252</v>
      </c>
      <c r="C671" s="16" t="s">
        <v>274</v>
      </c>
      <c r="D671" s="16"/>
      <c r="E671" s="16"/>
      <c r="F671" s="16"/>
      <c r="G671" s="48"/>
      <c r="H671" s="48"/>
      <c r="I671" s="18"/>
      <c r="J671" s="18"/>
      <c r="K671" s="18"/>
      <c r="L671" s="25"/>
    </row>
    <row r="672" customHeight="1" spans="1:12">
      <c r="A672" s="14" t="str">
        <f t="shared" si="14"/>
        <v>0x000004E8</v>
      </c>
      <c r="B672" s="15">
        <f>SUM_HEX(C671:F671,B671,3)</f>
        <v>1256</v>
      </c>
      <c r="C672" s="16" t="s">
        <v>274</v>
      </c>
      <c r="D672" s="16"/>
      <c r="E672" s="16"/>
      <c r="F672" s="16"/>
      <c r="G672" s="18" t="s">
        <v>15</v>
      </c>
      <c r="H672" s="18"/>
      <c r="I672" s="24" t="s">
        <v>526</v>
      </c>
      <c r="J672" s="18"/>
      <c r="K672" s="18" t="s">
        <v>405</v>
      </c>
      <c r="L672" s="25" t="s">
        <v>280</v>
      </c>
    </row>
    <row r="673" customHeight="1" spans="1:12">
      <c r="A673" s="14" t="str">
        <f t="shared" si="14"/>
        <v>0x000004EC</v>
      </c>
      <c r="B673" s="15">
        <f>SUM_HEX(C672:F672,B672,3)</f>
        <v>1260</v>
      </c>
      <c r="C673" s="16" t="s">
        <v>23</v>
      </c>
      <c r="D673" s="16"/>
      <c r="E673" s="16"/>
      <c r="F673" s="16"/>
      <c r="G673" s="18" t="s">
        <v>212</v>
      </c>
      <c r="H673" s="18"/>
      <c r="I673" s="24" t="s">
        <v>527</v>
      </c>
      <c r="J673" s="18"/>
      <c r="K673" s="18"/>
      <c r="L673" s="25" t="s">
        <v>272</v>
      </c>
    </row>
    <row r="674" customHeight="1" spans="1:12">
      <c r="A674" s="14" t="str">
        <f t="shared" si="14"/>
        <v>0x000004F0</v>
      </c>
      <c r="B674" s="15">
        <f>SUM_HEX(C673:F673,B673,3)</f>
        <v>1264</v>
      </c>
      <c r="C674" s="16" t="s">
        <v>23</v>
      </c>
      <c r="D674" s="16"/>
      <c r="E674" s="16"/>
      <c r="F674" s="16"/>
      <c r="G674" s="46" t="s">
        <v>157</v>
      </c>
      <c r="H674" s="46" t="s">
        <v>212</v>
      </c>
      <c r="I674" s="18" t="s">
        <v>528</v>
      </c>
      <c r="J674" s="18"/>
      <c r="K674" s="18"/>
      <c r="L674" s="25"/>
    </row>
    <row r="675" customHeight="1" spans="1:12">
      <c r="A675" s="14" t="str">
        <f t="shared" si="14"/>
        <v>0x000004F4</v>
      </c>
      <c r="B675" s="15">
        <f>SUM_HEX(C674:F674,B674,3)</f>
        <v>1268</v>
      </c>
      <c r="C675" s="16" t="s">
        <v>529</v>
      </c>
      <c r="D675" s="16"/>
      <c r="E675" s="16"/>
      <c r="F675" s="16"/>
      <c r="G675" s="47"/>
      <c r="H675" s="47"/>
      <c r="I675" s="18"/>
      <c r="J675" s="18"/>
      <c r="K675" s="18"/>
      <c r="L675" s="25"/>
    </row>
    <row r="676" customHeight="1" spans="1:12">
      <c r="A676" s="14" t="str">
        <f t="shared" si="14"/>
        <v>0x000004F8</v>
      </c>
      <c r="B676" s="15">
        <f>SUM_HEX(C675:F675,B675,3)</f>
        <v>1272</v>
      </c>
      <c r="C676" s="16" t="s">
        <v>23</v>
      </c>
      <c r="D676" s="16" t="s">
        <v>23</v>
      </c>
      <c r="E676" s="16"/>
      <c r="F676" s="16"/>
      <c r="G676" s="47"/>
      <c r="H676" s="47"/>
      <c r="I676" s="18"/>
      <c r="J676" s="18"/>
      <c r="K676" s="18"/>
      <c r="L676" s="25"/>
    </row>
    <row r="677" customHeight="1" spans="1:12">
      <c r="A677" s="14" t="str">
        <f t="shared" si="14"/>
        <v>0x00000500</v>
      </c>
      <c r="B677" s="15">
        <f>SUM_HEX(C676:F676,B676,3)</f>
        <v>1280</v>
      </c>
      <c r="C677" s="16" t="s">
        <v>274</v>
      </c>
      <c r="D677" s="16"/>
      <c r="E677" s="16"/>
      <c r="F677" s="16"/>
      <c r="G677" s="48"/>
      <c r="H677" s="48"/>
      <c r="I677" s="18"/>
      <c r="J677" s="18"/>
      <c r="K677" s="18"/>
      <c r="L677" s="25"/>
    </row>
    <row r="678" customHeight="1" spans="1:12">
      <c r="A678" s="14" t="str">
        <f t="shared" si="14"/>
        <v>0x00000504</v>
      </c>
      <c r="B678" s="15">
        <f>SUM_HEX(C677:F677,B677,3)</f>
        <v>1284</v>
      </c>
      <c r="C678" s="16" t="s">
        <v>274</v>
      </c>
      <c r="D678" s="16"/>
      <c r="E678" s="16"/>
      <c r="F678" s="16"/>
      <c r="G678" s="18" t="s">
        <v>15</v>
      </c>
      <c r="H678" s="18"/>
      <c r="I678" s="24" t="s">
        <v>530</v>
      </c>
      <c r="J678" s="18"/>
      <c r="K678" s="18" t="s">
        <v>405</v>
      </c>
      <c r="L678" s="25" t="s">
        <v>280</v>
      </c>
    </row>
    <row r="679" customHeight="1" spans="1:12">
      <c r="A679" s="14" t="str">
        <f t="shared" si="14"/>
        <v>0x00000508</v>
      </c>
      <c r="B679" s="15">
        <f>SUM_HEX(C678:F678,B678,3)</f>
        <v>1288</v>
      </c>
      <c r="C679" s="16" t="s">
        <v>23</v>
      </c>
      <c r="D679" s="16"/>
      <c r="E679" s="16"/>
      <c r="F679" s="16"/>
      <c r="G679" s="18" t="s">
        <v>212</v>
      </c>
      <c r="H679" s="18"/>
      <c r="I679" s="24" t="s">
        <v>531</v>
      </c>
      <c r="J679" s="18"/>
      <c r="K679" s="18"/>
      <c r="L679" s="25" t="s">
        <v>272</v>
      </c>
    </row>
    <row r="680" customHeight="1" spans="1:12">
      <c r="A680" s="14" t="str">
        <f t="shared" si="14"/>
        <v>0x0000050C</v>
      </c>
      <c r="B680" s="15">
        <f>SUM_HEX(C679:F679,B679,3)</f>
        <v>1292</v>
      </c>
      <c r="C680" s="16" t="s">
        <v>23</v>
      </c>
      <c r="D680" s="16" t="s">
        <v>23</v>
      </c>
      <c r="E680" s="16" t="s">
        <v>23</v>
      </c>
      <c r="F680" s="16"/>
      <c r="G680" s="18" t="s">
        <v>24</v>
      </c>
      <c r="H680" s="18" t="s">
        <v>538</v>
      </c>
      <c r="I680" s="24" t="s">
        <v>533</v>
      </c>
      <c r="J680" s="18"/>
      <c r="K680" s="18"/>
      <c r="L680" s="25"/>
    </row>
    <row r="681" customHeight="1" spans="1:12">
      <c r="A681" s="14" t="str">
        <f t="shared" si="14"/>
        <v>0x00000518</v>
      </c>
      <c r="B681" s="15">
        <f>SUM_HEX(C680:F680,B680,3)</f>
        <v>1304</v>
      </c>
      <c r="C681" s="16" t="s">
        <v>23</v>
      </c>
      <c r="D681" s="16" t="s">
        <v>23</v>
      </c>
      <c r="E681" s="16" t="s">
        <v>23</v>
      </c>
      <c r="F681" s="16"/>
      <c r="G681" s="18"/>
      <c r="H681" s="18"/>
      <c r="I681" s="24"/>
      <c r="J681" s="18"/>
      <c r="K681" s="18"/>
      <c r="L681" s="25"/>
    </row>
    <row r="682" customHeight="1" spans="1:12">
      <c r="A682" s="14" t="str">
        <f t="shared" si="14"/>
        <v>0x00000524</v>
      </c>
      <c r="B682" s="15">
        <f>SUM_HEX(C681:F681,B681,3)</f>
        <v>1316</v>
      </c>
      <c r="C682" s="51" t="s">
        <v>23</v>
      </c>
      <c r="D682" s="51"/>
      <c r="E682" s="51"/>
      <c r="F682" s="51"/>
      <c r="G682" s="52"/>
      <c r="H682" s="52"/>
      <c r="I682" s="57"/>
      <c r="J682" s="52"/>
      <c r="K682" s="52"/>
      <c r="L682" s="51"/>
    </row>
    <row r="683" customHeight="1" spans="1:12">
      <c r="A683" s="14" t="str">
        <f t="shared" si="14"/>
        <v>0x00000524</v>
      </c>
      <c r="B683" s="15">
        <f>SUM_HEX(C682:F682,B682,3)</f>
        <v>1316</v>
      </c>
      <c r="C683" s="51" t="s">
        <v>274</v>
      </c>
      <c r="D683" s="51"/>
      <c r="E683" s="51"/>
      <c r="F683" s="51"/>
      <c r="G683" s="52"/>
      <c r="H683" s="52"/>
      <c r="I683" s="57"/>
      <c r="J683" s="52"/>
      <c r="K683" s="52"/>
      <c r="L683" s="51"/>
    </row>
    <row r="685" customHeight="1" spans="1:3">
      <c r="A685" s="7" t="s">
        <v>136</v>
      </c>
      <c r="B685" s="8" t="s">
        <v>27</v>
      </c>
      <c r="C685" s="9" t="s">
        <v>539</v>
      </c>
    </row>
    <row r="686" customHeight="1" spans="1:12">
      <c r="A686" s="10" t="s">
        <v>2</v>
      </c>
      <c r="B686" s="11"/>
      <c r="C686" s="12" t="s">
        <v>3</v>
      </c>
      <c r="D686" s="12"/>
      <c r="E686" s="12"/>
      <c r="F686" s="12"/>
      <c r="G686" s="13" t="s">
        <v>4</v>
      </c>
      <c r="H686" s="13"/>
      <c r="I686" s="20" t="s">
        <v>5</v>
      </c>
      <c r="J686" s="13" t="s">
        <v>6</v>
      </c>
      <c r="K686" s="13" t="s">
        <v>7</v>
      </c>
      <c r="L686" s="21" t="s">
        <v>8</v>
      </c>
    </row>
    <row r="687" hidden="1" customHeight="1" spans="1:12">
      <c r="A687" s="14" t="str">
        <f t="shared" ref="A687:A689" si="15">"0x"&amp;DEC2HEX(B687,8)</f>
        <v>0x00000000</v>
      </c>
      <c r="B687" s="15">
        <f>0</f>
        <v>0</v>
      </c>
      <c r="C687" s="16" t="s">
        <v>29</v>
      </c>
      <c r="D687" s="16"/>
      <c r="E687" s="16"/>
      <c r="F687" s="16"/>
      <c r="G687" s="18" t="s">
        <v>15</v>
      </c>
      <c r="H687" s="18"/>
      <c r="I687" s="24" t="s">
        <v>279</v>
      </c>
      <c r="J687" s="18"/>
      <c r="K687" s="18" t="s">
        <v>21</v>
      </c>
      <c r="L687" s="25" t="s">
        <v>280</v>
      </c>
    </row>
    <row r="688" hidden="1" customHeight="1" spans="1:12">
      <c r="A688" s="14" t="str">
        <f t="shared" si="15"/>
        <v>0x00000004</v>
      </c>
      <c r="B688" s="15">
        <f>SUM_HEX(C687:F687,B687,3)</f>
        <v>4</v>
      </c>
      <c r="C688" s="16" t="s">
        <v>22</v>
      </c>
      <c r="D688" s="16"/>
      <c r="E688" s="16"/>
      <c r="F688" s="16"/>
      <c r="G688" s="18" t="s">
        <v>15</v>
      </c>
      <c r="H688" s="18"/>
      <c r="I688" s="24" t="s">
        <v>281</v>
      </c>
      <c r="J688" s="18"/>
      <c r="K688" s="18" t="s">
        <v>21</v>
      </c>
      <c r="L688" s="25" t="s">
        <v>280</v>
      </c>
    </row>
    <row r="689" hidden="1" customHeight="1" spans="1:12">
      <c r="A689" s="14" t="str">
        <f t="shared" si="15"/>
        <v>0x00000008</v>
      </c>
      <c r="B689" s="15">
        <f>SUM_HEX(C688:F688,B688,3)</f>
        <v>8</v>
      </c>
      <c r="C689" s="16" t="s">
        <v>282</v>
      </c>
      <c r="D689" s="16"/>
      <c r="E689" s="16"/>
      <c r="F689" s="16"/>
      <c r="G689" s="18" t="s">
        <v>33</v>
      </c>
      <c r="H689" s="18" t="s">
        <v>54</v>
      </c>
      <c r="I689" s="24" t="s">
        <v>283</v>
      </c>
      <c r="J689" s="24" t="s">
        <v>284</v>
      </c>
      <c r="K689" s="18"/>
      <c r="L689" s="25"/>
    </row>
    <row r="690" hidden="1" customHeight="1" spans="1:12">
      <c r="A690" s="14"/>
      <c r="B690" s="15"/>
      <c r="C690" s="16"/>
      <c r="D690" s="16"/>
      <c r="E690" s="16"/>
      <c r="F690" s="16"/>
      <c r="G690" s="18"/>
      <c r="H690" s="18" t="s">
        <v>57</v>
      </c>
      <c r="I690" s="24"/>
      <c r="J690" s="24" t="s">
        <v>285</v>
      </c>
      <c r="K690" s="18"/>
      <c r="L690" s="25"/>
    </row>
    <row r="691" hidden="1" customHeight="1" spans="1:12">
      <c r="A691" s="14"/>
      <c r="B691" s="15"/>
      <c r="C691" s="16"/>
      <c r="D691" s="16"/>
      <c r="E691" s="16"/>
      <c r="F691" s="16"/>
      <c r="G691" s="18"/>
      <c r="H691" s="18" t="s">
        <v>58</v>
      </c>
      <c r="I691" s="24"/>
      <c r="J691" s="24" t="s">
        <v>286</v>
      </c>
      <c r="K691" s="18"/>
      <c r="L691" s="25"/>
    </row>
    <row r="692" hidden="1" customHeight="1" spans="1:12">
      <c r="A692" s="14"/>
      <c r="B692" s="15"/>
      <c r="C692" s="16"/>
      <c r="D692" s="16"/>
      <c r="E692" s="16"/>
      <c r="F692" s="16"/>
      <c r="G692" s="18"/>
      <c r="H692" s="18" t="s">
        <v>59</v>
      </c>
      <c r="I692" s="24"/>
      <c r="J692" s="24" t="s">
        <v>287</v>
      </c>
      <c r="K692" s="18"/>
      <c r="L692" s="25"/>
    </row>
    <row r="693" hidden="1" customHeight="1" spans="1:12">
      <c r="A693" s="14" t="str">
        <f t="shared" ref="A693:A756" si="16">"0x"&amp;DEC2HEX(B693,8)</f>
        <v>0x0000000C</v>
      </c>
      <c r="B693" s="15">
        <f>SUM_HEX(C689:F692,B689,3)</f>
        <v>12</v>
      </c>
      <c r="C693" s="26" t="s">
        <v>23</v>
      </c>
      <c r="D693" s="16"/>
      <c r="E693" s="16"/>
      <c r="F693" s="16"/>
      <c r="G693" s="46" t="s">
        <v>157</v>
      </c>
      <c r="H693" s="46" t="s">
        <v>212</v>
      </c>
      <c r="I693" s="24" t="s">
        <v>288</v>
      </c>
      <c r="J693" s="18"/>
      <c r="K693" s="18" t="s">
        <v>289</v>
      </c>
      <c r="L693" s="25" t="s">
        <v>272</v>
      </c>
    </row>
    <row r="694" hidden="1" customHeight="1" spans="1:12">
      <c r="A694" s="14" t="str">
        <f t="shared" si="16"/>
        <v>0x00000010</v>
      </c>
      <c r="B694" s="15">
        <f>SUM_HEX(C693:F693,B693,3)</f>
        <v>16</v>
      </c>
      <c r="C694" s="16" t="s">
        <v>290</v>
      </c>
      <c r="D694" s="16"/>
      <c r="E694" s="16"/>
      <c r="F694" s="16"/>
      <c r="G694" s="47"/>
      <c r="H694" s="47"/>
      <c r="I694" s="24"/>
      <c r="J694" s="18"/>
      <c r="K694" s="18"/>
      <c r="L694" s="25"/>
    </row>
    <row r="695" hidden="1" customHeight="1" spans="1:12">
      <c r="A695" s="14" t="str">
        <f t="shared" si="16"/>
        <v>0x00000014</v>
      </c>
      <c r="B695" s="15">
        <f>SUM_HEX(C694:F694,B694,3)</f>
        <v>20</v>
      </c>
      <c r="C695" s="16" t="s">
        <v>148</v>
      </c>
      <c r="D695" s="16" t="s">
        <v>23</v>
      </c>
      <c r="E695" s="16"/>
      <c r="F695" s="16"/>
      <c r="G695" s="47"/>
      <c r="H695" s="47"/>
      <c r="I695" s="24"/>
      <c r="J695" s="18"/>
      <c r="K695" s="18"/>
      <c r="L695" s="25"/>
    </row>
    <row r="696" hidden="1" customHeight="1" spans="1:12">
      <c r="A696" s="14" t="str">
        <f t="shared" si="16"/>
        <v>0x0000001C</v>
      </c>
      <c r="B696" s="15">
        <f>SUM_HEX(C695:F695,B695,3)</f>
        <v>28</v>
      </c>
      <c r="C696" s="16" t="s">
        <v>274</v>
      </c>
      <c r="D696" s="16"/>
      <c r="E696" s="16"/>
      <c r="F696" s="16"/>
      <c r="G696" s="48"/>
      <c r="H696" s="48"/>
      <c r="I696" s="24"/>
      <c r="J696" s="18"/>
      <c r="K696" s="18"/>
      <c r="L696" s="25"/>
    </row>
    <row r="697" hidden="1" customHeight="1" spans="1:12">
      <c r="A697" s="14" t="str">
        <f t="shared" si="16"/>
        <v>0x00000020</v>
      </c>
      <c r="B697" s="15">
        <f>SUM_HEX(C696:F696,B696,3)</f>
        <v>32</v>
      </c>
      <c r="C697" s="16" t="s">
        <v>23</v>
      </c>
      <c r="D697" s="16"/>
      <c r="E697" s="16"/>
      <c r="F697" s="16"/>
      <c r="G697" s="46" t="s">
        <v>157</v>
      </c>
      <c r="H697" s="46" t="s">
        <v>212</v>
      </c>
      <c r="I697" s="24" t="s">
        <v>291</v>
      </c>
      <c r="J697" s="18"/>
      <c r="K697" s="18" t="s">
        <v>289</v>
      </c>
      <c r="L697" s="25" t="s">
        <v>272</v>
      </c>
    </row>
    <row r="698" hidden="1" customHeight="1" spans="1:12">
      <c r="A698" s="14" t="str">
        <f t="shared" si="16"/>
        <v>0x00000024</v>
      </c>
      <c r="B698" s="15">
        <f>SUM_HEX(C697:F697,B697,3)</f>
        <v>36</v>
      </c>
      <c r="C698" s="16" t="s">
        <v>292</v>
      </c>
      <c r="D698" s="16"/>
      <c r="E698" s="16"/>
      <c r="F698" s="16"/>
      <c r="G698" s="47"/>
      <c r="H698" s="47"/>
      <c r="I698" s="24"/>
      <c r="J698" s="18"/>
      <c r="K698" s="18"/>
      <c r="L698" s="25"/>
    </row>
    <row r="699" hidden="1" customHeight="1" spans="1:12">
      <c r="A699" s="14" t="str">
        <f t="shared" si="16"/>
        <v>0x00000028</v>
      </c>
      <c r="B699" s="15">
        <f>SUM_HEX(C698:F698,B698,3)</f>
        <v>40</v>
      </c>
      <c r="C699" s="16" t="s">
        <v>148</v>
      </c>
      <c r="D699" s="16" t="s">
        <v>23</v>
      </c>
      <c r="E699" s="16"/>
      <c r="F699" s="16"/>
      <c r="G699" s="47"/>
      <c r="H699" s="47"/>
      <c r="I699" s="24"/>
      <c r="J699" s="18"/>
      <c r="K699" s="18"/>
      <c r="L699" s="25"/>
    </row>
    <row r="700" hidden="1" customHeight="1" spans="1:12">
      <c r="A700" s="14" t="str">
        <f t="shared" si="16"/>
        <v>0x00000030</v>
      </c>
      <c r="B700" s="15">
        <f>SUM_HEX(C699:F699,B699,3)</f>
        <v>48</v>
      </c>
      <c r="C700" s="16" t="s">
        <v>274</v>
      </c>
      <c r="D700" s="16"/>
      <c r="E700" s="16"/>
      <c r="F700" s="16"/>
      <c r="G700" s="48"/>
      <c r="H700" s="48"/>
      <c r="I700" s="24"/>
      <c r="J700" s="18"/>
      <c r="K700" s="18"/>
      <c r="L700" s="25"/>
    </row>
    <row r="701" hidden="1" customHeight="1" spans="1:12">
      <c r="A701" s="14" t="str">
        <f t="shared" si="16"/>
        <v>0x00000034</v>
      </c>
      <c r="B701" s="15">
        <f>SUM_HEX(C700:F700,B700,3)</f>
        <v>52</v>
      </c>
      <c r="C701" s="16" t="s">
        <v>23</v>
      </c>
      <c r="D701" s="16"/>
      <c r="E701" s="16"/>
      <c r="F701" s="16"/>
      <c r="G701" s="46" t="s">
        <v>157</v>
      </c>
      <c r="H701" s="46" t="s">
        <v>212</v>
      </c>
      <c r="I701" s="24" t="s">
        <v>293</v>
      </c>
      <c r="J701" s="18"/>
      <c r="K701" s="18" t="s">
        <v>294</v>
      </c>
      <c r="L701" s="25"/>
    </row>
    <row r="702" hidden="1" customHeight="1" spans="1:12">
      <c r="A702" s="14" t="str">
        <f t="shared" si="16"/>
        <v>0x00000038</v>
      </c>
      <c r="B702" s="15">
        <f>SUM_HEX(C701:F701,B701,3)</f>
        <v>56</v>
      </c>
      <c r="C702" s="16" t="s">
        <v>295</v>
      </c>
      <c r="D702" s="16"/>
      <c r="E702" s="16"/>
      <c r="F702" s="16"/>
      <c r="G702" s="47"/>
      <c r="H702" s="47"/>
      <c r="I702" s="24"/>
      <c r="J702" s="18"/>
      <c r="K702" s="18"/>
      <c r="L702" s="25"/>
    </row>
    <row r="703" hidden="1" customHeight="1" spans="1:12">
      <c r="A703" s="14" t="str">
        <f t="shared" si="16"/>
        <v>0x0000003C</v>
      </c>
      <c r="B703" s="15">
        <f>SUM_HEX(C702:F702,B702,3)</f>
        <v>60</v>
      </c>
      <c r="C703" s="16" t="s">
        <v>23</v>
      </c>
      <c r="D703" s="16" t="s">
        <v>23</v>
      </c>
      <c r="E703" s="16"/>
      <c r="F703" s="16"/>
      <c r="G703" s="47"/>
      <c r="H703" s="47"/>
      <c r="I703" s="24"/>
      <c r="J703" s="18"/>
      <c r="K703" s="18"/>
      <c r="L703" s="25"/>
    </row>
    <row r="704" hidden="1" customHeight="1" spans="1:12">
      <c r="A704" s="14" t="str">
        <f t="shared" si="16"/>
        <v>0x00000044</v>
      </c>
      <c r="B704" s="15">
        <f>SUM_HEX(C703:F703,B703,3)</f>
        <v>68</v>
      </c>
      <c r="C704" s="16" t="s">
        <v>274</v>
      </c>
      <c r="D704" s="16"/>
      <c r="E704" s="16"/>
      <c r="F704" s="16"/>
      <c r="G704" s="48"/>
      <c r="H704" s="48"/>
      <c r="I704" s="24"/>
      <c r="J704" s="18"/>
      <c r="K704" s="18"/>
      <c r="L704" s="25"/>
    </row>
    <row r="705" hidden="1" customHeight="1" spans="1:12">
      <c r="A705" s="14" t="str">
        <f t="shared" si="16"/>
        <v>0x00000048</v>
      </c>
      <c r="B705" s="15">
        <f>SUM_HEX(C704:F704,B704,3)</f>
        <v>72</v>
      </c>
      <c r="C705" s="16" t="s">
        <v>23</v>
      </c>
      <c r="D705" s="16"/>
      <c r="E705" s="16"/>
      <c r="F705" s="16"/>
      <c r="G705" s="46" t="s">
        <v>157</v>
      </c>
      <c r="H705" s="46" t="s">
        <v>212</v>
      </c>
      <c r="I705" s="24" t="s">
        <v>296</v>
      </c>
      <c r="J705" s="18"/>
      <c r="K705" s="18" t="s">
        <v>294</v>
      </c>
      <c r="L705" s="25"/>
    </row>
    <row r="706" hidden="1" customHeight="1" spans="1:12">
      <c r="A706" s="14" t="str">
        <f t="shared" si="16"/>
        <v>0x0000004C</v>
      </c>
      <c r="B706" s="15">
        <f>SUM_HEX(C705:F705,B705,3)</f>
        <v>76</v>
      </c>
      <c r="C706" s="16" t="s">
        <v>297</v>
      </c>
      <c r="D706" s="16"/>
      <c r="E706" s="16"/>
      <c r="F706" s="16"/>
      <c r="G706" s="47"/>
      <c r="H706" s="47"/>
      <c r="I706" s="24"/>
      <c r="J706" s="18"/>
      <c r="K706" s="18"/>
      <c r="L706" s="25"/>
    </row>
    <row r="707" hidden="1" customHeight="1" spans="1:12">
      <c r="A707" s="14" t="str">
        <f t="shared" si="16"/>
        <v>0x00000050</v>
      </c>
      <c r="B707" s="15">
        <f>SUM_HEX(C706:F706,B706,3)</f>
        <v>80</v>
      </c>
      <c r="C707" s="16" t="s">
        <v>23</v>
      </c>
      <c r="D707" s="16" t="s">
        <v>23</v>
      </c>
      <c r="E707" s="16"/>
      <c r="F707" s="16"/>
      <c r="G707" s="47"/>
      <c r="H707" s="47"/>
      <c r="I707" s="24"/>
      <c r="J707" s="18"/>
      <c r="K707" s="18"/>
      <c r="L707" s="25"/>
    </row>
    <row r="708" hidden="1" customHeight="1" spans="1:12">
      <c r="A708" s="14" t="str">
        <f t="shared" si="16"/>
        <v>0x00000058</v>
      </c>
      <c r="B708" s="15">
        <f>SUM_HEX(C707:F707,B707,3)</f>
        <v>88</v>
      </c>
      <c r="C708" s="16" t="s">
        <v>274</v>
      </c>
      <c r="D708" s="16"/>
      <c r="E708" s="16"/>
      <c r="F708" s="16"/>
      <c r="G708" s="48"/>
      <c r="H708" s="48"/>
      <c r="I708" s="24"/>
      <c r="J708" s="18"/>
      <c r="K708" s="18"/>
      <c r="L708" s="25"/>
    </row>
    <row r="709" hidden="1" customHeight="1" spans="1:12">
      <c r="A709" s="14" t="str">
        <f t="shared" si="16"/>
        <v>0x0000005C</v>
      </c>
      <c r="B709" s="15">
        <f>SUM_HEX(C708:F708,B708,3)</f>
        <v>92</v>
      </c>
      <c r="C709" s="16" t="s">
        <v>23</v>
      </c>
      <c r="D709" s="16"/>
      <c r="E709" s="16"/>
      <c r="F709" s="16"/>
      <c r="G709" s="46" t="s">
        <v>157</v>
      </c>
      <c r="H709" s="46" t="s">
        <v>212</v>
      </c>
      <c r="I709" s="24" t="s">
        <v>298</v>
      </c>
      <c r="J709" s="18"/>
      <c r="K709" s="18" t="s">
        <v>299</v>
      </c>
      <c r="L709" s="25" t="s">
        <v>300</v>
      </c>
    </row>
    <row r="710" hidden="1" customHeight="1" spans="1:12">
      <c r="A710" s="14" t="str">
        <f t="shared" si="16"/>
        <v>0x00000060</v>
      </c>
      <c r="B710" s="15">
        <f>SUM_HEX(C709:F709,B709,3)</f>
        <v>96</v>
      </c>
      <c r="C710" s="16" t="s">
        <v>301</v>
      </c>
      <c r="D710" s="16"/>
      <c r="E710" s="16"/>
      <c r="F710" s="16"/>
      <c r="G710" s="47"/>
      <c r="H710" s="47"/>
      <c r="I710" s="24"/>
      <c r="J710" s="18"/>
      <c r="K710" s="18"/>
      <c r="L710" s="25"/>
    </row>
    <row r="711" hidden="1" customHeight="1" spans="1:12">
      <c r="A711" s="14" t="str">
        <f t="shared" si="16"/>
        <v>0x00000064</v>
      </c>
      <c r="B711" s="15">
        <f>SUM_HEX(C710:F710,B710,3)</f>
        <v>100</v>
      </c>
      <c r="C711" s="16" t="s">
        <v>23</v>
      </c>
      <c r="D711" s="16" t="s">
        <v>23</v>
      </c>
      <c r="E711" s="16"/>
      <c r="F711" s="16"/>
      <c r="G711" s="47"/>
      <c r="H711" s="47"/>
      <c r="I711" s="24"/>
      <c r="J711" s="18"/>
      <c r="K711" s="18"/>
      <c r="L711" s="25"/>
    </row>
    <row r="712" hidden="1" customHeight="1" spans="1:12">
      <c r="A712" s="14" t="str">
        <f t="shared" si="16"/>
        <v>0x0000006C</v>
      </c>
      <c r="B712" s="15">
        <f>SUM_HEX(C711:F711,B711,3)</f>
        <v>108</v>
      </c>
      <c r="C712" s="16" t="s">
        <v>274</v>
      </c>
      <c r="D712" s="16"/>
      <c r="E712" s="16"/>
      <c r="F712" s="16"/>
      <c r="G712" s="48"/>
      <c r="H712" s="48"/>
      <c r="I712" s="24"/>
      <c r="J712" s="18"/>
      <c r="K712" s="18"/>
      <c r="L712" s="25"/>
    </row>
    <row r="713" hidden="1" customHeight="1" spans="1:12">
      <c r="A713" s="14" t="str">
        <f t="shared" si="16"/>
        <v>0x00000070</v>
      </c>
      <c r="B713" s="15">
        <f>SUM_HEX(C712:F712,B712,3)</f>
        <v>112</v>
      </c>
      <c r="C713" s="16" t="s">
        <v>23</v>
      </c>
      <c r="D713" s="16"/>
      <c r="E713" s="16"/>
      <c r="F713" s="16"/>
      <c r="G713" s="46" t="s">
        <v>157</v>
      </c>
      <c r="H713" s="46" t="s">
        <v>212</v>
      </c>
      <c r="I713" s="24" t="s">
        <v>302</v>
      </c>
      <c r="J713" s="18"/>
      <c r="K713" s="18" t="s">
        <v>299</v>
      </c>
      <c r="L713" s="25" t="s">
        <v>300</v>
      </c>
    </row>
    <row r="714" hidden="1" customHeight="1" spans="1:12">
      <c r="A714" s="14" t="str">
        <f t="shared" si="16"/>
        <v>0x00000074</v>
      </c>
      <c r="B714" s="15">
        <f>SUM_HEX(C713:F713,B713,3)</f>
        <v>116</v>
      </c>
      <c r="C714" s="16" t="s">
        <v>303</v>
      </c>
      <c r="D714" s="16"/>
      <c r="E714" s="16"/>
      <c r="F714" s="16"/>
      <c r="G714" s="47"/>
      <c r="H714" s="47"/>
      <c r="I714" s="24"/>
      <c r="J714" s="18"/>
      <c r="K714" s="18"/>
      <c r="L714" s="25"/>
    </row>
    <row r="715" hidden="1" customHeight="1" spans="1:12">
      <c r="A715" s="14" t="str">
        <f t="shared" si="16"/>
        <v>0x00000078</v>
      </c>
      <c r="B715" s="15">
        <f>SUM_HEX(C714:F714,B714,3)</f>
        <v>120</v>
      </c>
      <c r="C715" s="16" t="s">
        <v>23</v>
      </c>
      <c r="D715" s="16" t="s">
        <v>23</v>
      </c>
      <c r="E715" s="16"/>
      <c r="F715" s="16"/>
      <c r="G715" s="47"/>
      <c r="H715" s="47"/>
      <c r="I715" s="24"/>
      <c r="J715" s="18"/>
      <c r="K715" s="18"/>
      <c r="L715" s="25"/>
    </row>
    <row r="716" hidden="1" customHeight="1" spans="1:12">
      <c r="A716" s="14" t="str">
        <f t="shared" si="16"/>
        <v>0x00000080</v>
      </c>
      <c r="B716" s="15">
        <f>SUM_HEX(C715:F715,B715,3)</f>
        <v>128</v>
      </c>
      <c r="C716" s="16" t="s">
        <v>274</v>
      </c>
      <c r="D716" s="16"/>
      <c r="E716" s="16"/>
      <c r="F716" s="16"/>
      <c r="G716" s="48"/>
      <c r="H716" s="48"/>
      <c r="I716" s="24"/>
      <c r="J716" s="18"/>
      <c r="K716" s="18"/>
      <c r="L716" s="25"/>
    </row>
    <row r="717" hidden="1" customHeight="1" spans="1:12">
      <c r="A717" s="14" t="str">
        <f t="shared" si="16"/>
        <v>0x00000084</v>
      </c>
      <c r="B717" s="15">
        <f>SUM_HEX(C716:F716,B716,3)</f>
        <v>132</v>
      </c>
      <c r="C717" s="16" t="s">
        <v>23</v>
      </c>
      <c r="D717" s="16"/>
      <c r="E717" s="16"/>
      <c r="F717" s="16"/>
      <c r="G717" s="46" t="s">
        <v>157</v>
      </c>
      <c r="H717" s="46" t="s">
        <v>212</v>
      </c>
      <c r="I717" s="24" t="s">
        <v>304</v>
      </c>
      <c r="J717" s="18"/>
      <c r="K717" s="18" t="s">
        <v>305</v>
      </c>
      <c r="L717" s="25"/>
    </row>
    <row r="718" hidden="1" customHeight="1" spans="1:12">
      <c r="A718" s="14" t="str">
        <f t="shared" si="16"/>
        <v>0x00000088</v>
      </c>
      <c r="B718" s="15">
        <f>SUM_HEX(C717:F717,B717,3)</f>
        <v>136</v>
      </c>
      <c r="C718" s="16" t="s">
        <v>306</v>
      </c>
      <c r="D718" s="16"/>
      <c r="E718" s="16"/>
      <c r="F718" s="16"/>
      <c r="G718" s="47"/>
      <c r="H718" s="47"/>
      <c r="I718" s="24"/>
      <c r="J718" s="18"/>
      <c r="K718" s="18"/>
      <c r="L718" s="25"/>
    </row>
    <row r="719" hidden="1" customHeight="1" spans="1:12">
      <c r="A719" s="14" t="str">
        <f t="shared" si="16"/>
        <v>0x0000008C</v>
      </c>
      <c r="B719" s="15">
        <f>SUM_HEX(C718:F718,B718,3)</f>
        <v>140</v>
      </c>
      <c r="C719" s="16" t="s">
        <v>307</v>
      </c>
      <c r="D719" s="16" t="s">
        <v>23</v>
      </c>
      <c r="E719" s="16"/>
      <c r="F719" s="16"/>
      <c r="G719" s="47"/>
      <c r="H719" s="47"/>
      <c r="I719" s="24"/>
      <c r="J719" s="18"/>
      <c r="K719" s="18"/>
      <c r="L719" s="25"/>
    </row>
    <row r="720" hidden="1" customHeight="1" spans="1:12">
      <c r="A720" s="14" t="str">
        <f t="shared" si="16"/>
        <v>0x00000094</v>
      </c>
      <c r="B720" s="15">
        <f>SUM_HEX(C719:F719,B719,3)</f>
        <v>148</v>
      </c>
      <c r="C720" s="16" t="s">
        <v>274</v>
      </c>
      <c r="D720" s="16"/>
      <c r="E720" s="16"/>
      <c r="F720" s="16"/>
      <c r="G720" s="48"/>
      <c r="H720" s="48"/>
      <c r="I720" s="24"/>
      <c r="J720" s="18"/>
      <c r="K720" s="18"/>
      <c r="L720" s="25"/>
    </row>
    <row r="721" hidden="1" customHeight="1" spans="1:12">
      <c r="A721" s="14" t="str">
        <f t="shared" si="16"/>
        <v>0x00000098</v>
      </c>
      <c r="B721" s="15">
        <f>SUM_HEX(C720:F720,B720,3)</f>
        <v>152</v>
      </c>
      <c r="C721" s="16" t="s">
        <v>23</v>
      </c>
      <c r="D721" s="16"/>
      <c r="E721" s="16"/>
      <c r="F721" s="16"/>
      <c r="G721" s="46" t="s">
        <v>157</v>
      </c>
      <c r="H721" s="46" t="s">
        <v>212</v>
      </c>
      <c r="I721" s="24" t="s">
        <v>308</v>
      </c>
      <c r="J721" s="18"/>
      <c r="K721" s="18" t="s">
        <v>305</v>
      </c>
      <c r="L721" s="25"/>
    </row>
    <row r="722" hidden="1" customHeight="1" spans="1:12">
      <c r="A722" s="14" t="str">
        <f t="shared" si="16"/>
        <v>0x0000009C</v>
      </c>
      <c r="B722" s="15">
        <f>SUM_HEX(C721:F721,B721,3)</f>
        <v>156</v>
      </c>
      <c r="C722" s="16" t="s">
        <v>309</v>
      </c>
      <c r="D722" s="16"/>
      <c r="E722" s="16"/>
      <c r="F722" s="16"/>
      <c r="G722" s="47"/>
      <c r="H722" s="47"/>
      <c r="I722" s="24"/>
      <c r="J722" s="18"/>
      <c r="K722" s="18"/>
      <c r="L722" s="25"/>
    </row>
    <row r="723" hidden="1" customHeight="1" spans="1:12">
      <c r="A723" s="14" t="str">
        <f t="shared" si="16"/>
        <v>0x000000A0</v>
      </c>
      <c r="B723" s="15">
        <f>SUM_HEX(C722:F722,B722,3)</f>
        <v>160</v>
      </c>
      <c r="C723" s="16" t="s">
        <v>307</v>
      </c>
      <c r="D723" s="16" t="s">
        <v>23</v>
      </c>
      <c r="E723" s="16"/>
      <c r="F723" s="16"/>
      <c r="G723" s="47"/>
      <c r="H723" s="47"/>
      <c r="I723" s="24"/>
      <c r="J723" s="18"/>
      <c r="K723" s="18"/>
      <c r="L723" s="25"/>
    </row>
    <row r="724" hidden="1" customHeight="1" spans="1:12">
      <c r="A724" s="14" t="str">
        <f t="shared" si="16"/>
        <v>0x000000A8</v>
      </c>
      <c r="B724" s="15">
        <f>SUM_HEX(C723:F723,B723,3)</f>
        <v>168</v>
      </c>
      <c r="C724" s="16" t="s">
        <v>274</v>
      </c>
      <c r="D724" s="16"/>
      <c r="E724" s="16"/>
      <c r="F724" s="16"/>
      <c r="G724" s="48"/>
      <c r="H724" s="48"/>
      <c r="I724" s="24"/>
      <c r="J724" s="18"/>
      <c r="K724" s="18"/>
      <c r="L724" s="25"/>
    </row>
    <row r="725" hidden="1" customHeight="1" spans="1:12">
      <c r="A725" s="14" t="str">
        <f t="shared" si="16"/>
        <v>0x000000AC</v>
      </c>
      <c r="B725" s="15">
        <f>SUM_HEX(C724:F724,B724,3)</f>
        <v>172</v>
      </c>
      <c r="C725" s="16" t="s">
        <v>23</v>
      </c>
      <c r="D725" s="16"/>
      <c r="E725" s="16"/>
      <c r="F725" s="16"/>
      <c r="G725" s="18" t="s">
        <v>212</v>
      </c>
      <c r="H725" s="18"/>
      <c r="I725" s="24" t="s">
        <v>310</v>
      </c>
      <c r="J725" s="18"/>
      <c r="K725" s="18" t="s">
        <v>311</v>
      </c>
      <c r="L725" s="25"/>
    </row>
    <row r="726" hidden="1" customHeight="1" spans="1:12">
      <c r="A726" s="14" t="str">
        <f t="shared" si="16"/>
        <v>0x000000B0</v>
      </c>
      <c r="B726" s="15">
        <f>SUM_HEX(C725:F725,B725,3)</f>
        <v>176</v>
      </c>
      <c r="C726" s="16" t="s">
        <v>23</v>
      </c>
      <c r="D726" s="16" t="s">
        <v>23</v>
      </c>
      <c r="E726" s="16"/>
      <c r="F726" s="16"/>
      <c r="G726" s="17"/>
      <c r="H726" s="17"/>
      <c r="I726" s="22"/>
      <c r="J726" s="17"/>
      <c r="K726" s="17"/>
      <c r="L726" s="23"/>
    </row>
    <row r="727" hidden="1" customHeight="1" spans="1:12">
      <c r="A727" s="14" t="str">
        <f t="shared" si="16"/>
        <v>0x000000B8</v>
      </c>
      <c r="B727" s="15">
        <f>SUM_HEX(C726:F726,B726,3)</f>
        <v>184</v>
      </c>
      <c r="C727" s="16" t="s">
        <v>312</v>
      </c>
      <c r="D727" s="16"/>
      <c r="E727" s="16"/>
      <c r="F727" s="16"/>
      <c r="G727" s="18" t="s">
        <v>212</v>
      </c>
      <c r="H727" s="18"/>
      <c r="I727" s="24" t="s">
        <v>313</v>
      </c>
      <c r="J727" s="18"/>
      <c r="K727" s="18" t="s">
        <v>314</v>
      </c>
      <c r="L727" s="25" t="s">
        <v>315</v>
      </c>
    </row>
    <row r="728" hidden="1" customHeight="1" spans="1:12">
      <c r="A728" s="14" t="str">
        <f t="shared" si="16"/>
        <v>0x000000BC</v>
      </c>
      <c r="B728" s="15">
        <f>SUM_HEX(C727:F727,B727,3)</f>
        <v>188</v>
      </c>
      <c r="C728" s="16" t="s">
        <v>316</v>
      </c>
      <c r="D728" s="16"/>
      <c r="E728" s="16"/>
      <c r="F728" s="16"/>
      <c r="G728" s="18" t="s">
        <v>212</v>
      </c>
      <c r="H728" s="18"/>
      <c r="I728" s="49" t="s">
        <v>317</v>
      </c>
      <c r="J728" s="18"/>
      <c r="K728" s="18" t="s">
        <v>318</v>
      </c>
      <c r="L728" s="25"/>
    </row>
    <row r="729" hidden="1" customHeight="1" spans="1:12">
      <c r="A729" s="14" t="str">
        <f t="shared" si="16"/>
        <v>0x000000C0</v>
      </c>
      <c r="B729" s="15">
        <f>SUM_HEX(C728:F728,B728,3)</f>
        <v>192</v>
      </c>
      <c r="C729" s="16" t="s">
        <v>316</v>
      </c>
      <c r="D729" s="16"/>
      <c r="E729" s="16"/>
      <c r="F729" s="16"/>
      <c r="G729" s="18" t="s">
        <v>212</v>
      </c>
      <c r="H729" s="18"/>
      <c r="I729" s="49" t="s">
        <v>319</v>
      </c>
      <c r="J729" s="18"/>
      <c r="K729" s="18" t="s">
        <v>318</v>
      </c>
      <c r="L729" s="25"/>
    </row>
    <row r="730" hidden="1" customHeight="1" spans="1:12">
      <c r="A730" s="14" t="str">
        <f t="shared" si="16"/>
        <v>0x000000C4</v>
      </c>
      <c r="B730" s="15">
        <f>SUM_HEX(C729:F729,B729,3)</f>
        <v>196</v>
      </c>
      <c r="C730" s="16" t="s">
        <v>316</v>
      </c>
      <c r="D730" s="16"/>
      <c r="E730" s="16"/>
      <c r="F730" s="16"/>
      <c r="G730" s="18" t="s">
        <v>212</v>
      </c>
      <c r="H730" s="18"/>
      <c r="I730" s="49" t="s">
        <v>320</v>
      </c>
      <c r="J730" s="18"/>
      <c r="K730" s="18" t="s">
        <v>318</v>
      </c>
      <c r="L730" s="25"/>
    </row>
    <row r="731" hidden="1" customHeight="1" spans="1:12">
      <c r="A731" s="14" t="str">
        <f t="shared" si="16"/>
        <v>0x000000C8</v>
      </c>
      <c r="B731" s="15">
        <f>SUM_HEX(C730:F730,B730,3)</f>
        <v>200</v>
      </c>
      <c r="C731" s="16" t="s">
        <v>316</v>
      </c>
      <c r="D731" s="16"/>
      <c r="E731" s="16"/>
      <c r="F731" s="16"/>
      <c r="G731" s="18" t="s">
        <v>212</v>
      </c>
      <c r="H731" s="18"/>
      <c r="I731" s="49" t="s">
        <v>321</v>
      </c>
      <c r="J731" s="18"/>
      <c r="K731" s="18" t="s">
        <v>318</v>
      </c>
      <c r="L731" s="25"/>
    </row>
    <row r="732" hidden="1" customHeight="1" spans="1:12">
      <c r="A732" s="14" t="str">
        <f t="shared" si="16"/>
        <v>0x000000CC</v>
      </c>
      <c r="B732" s="15">
        <f>SUM_HEX(C731:F731,B731,3)</f>
        <v>204</v>
      </c>
      <c r="C732" s="16" t="s">
        <v>23</v>
      </c>
      <c r="D732" s="16"/>
      <c r="E732" s="16"/>
      <c r="F732" s="16"/>
      <c r="G732" s="18" t="s">
        <v>212</v>
      </c>
      <c r="H732" s="18"/>
      <c r="I732" s="49" t="s">
        <v>322</v>
      </c>
      <c r="J732" s="18"/>
      <c r="K732" s="18" t="s">
        <v>318</v>
      </c>
      <c r="L732" s="25"/>
    </row>
    <row r="733" hidden="1" customHeight="1" spans="1:12">
      <c r="A733" s="14" t="str">
        <f t="shared" si="16"/>
        <v>0x000000D0</v>
      </c>
      <c r="B733" s="15">
        <f>SUM_HEX(C732:F732,B732,3)</f>
        <v>208</v>
      </c>
      <c r="C733" s="16" t="s">
        <v>23</v>
      </c>
      <c r="D733" s="16"/>
      <c r="E733" s="16"/>
      <c r="F733" s="16"/>
      <c r="G733" s="18" t="s">
        <v>212</v>
      </c>
      <c r="H733" s="18"/>
      <c r="I733" s="49" t="s">
        <v>323</v>
      </c>
      <c r="J733" s="18"/>
      <c r="K733" s="18" t="s">
        <v>318</v>
      </c>
      <c r="L733" s="25"/>
    </row>
    <row r="734" hidden="1" customHeight="1" spans="1:12">
      <c r="A734" s="14" t="str">
        <f t="shared" si="16"/>
        <v>0x000000D4</v>
      </c>
      <c r="B734" s="15">
        <f>SUM_HEX(C733:F733,B733,3)</f>
        <v>212</v>
      </c>
      <c r="C734" s="16" t="s">
        <v>23</v>
      </c>
      <c r="D734" s="16"/>
      <c r="E734" s="16"/>
      <c r="F734" s="16"/>
      <c r="G734" s="18" t="s">
        <v>212</v>
      </c>
      <c r="H734" s="18"/>
      <c r="I734" s="49" t="s">
        <v>324</v>
      </c>
      <c r="J734" s="18"/>
      <c r="K734" s="18" t="s">
        <v>318</v>
      </c>
      <c r="L734" s="25"/>
    </row>
    <row r="735" hidden="1" customHeight="1" spans="1:12">
      <c r="A735" s="14" t="str">
        <f t="shared" si="16"/>
        <v>0x000000D8</v>
      </c>
      <c r="B735" s="15">
        <f>SUM_HEX(C734:F734,B734,3)</f>
        <v>216</v>
      </c>
      <c r="C735" s="16" t="s">
        <v>23</v>
      </c>
      <c r="D735" s="16"/>
      <c r="E735" s="16"/>
      <c r="F735" s="16"/>
      <c r="G735" s="18" t="s">
        <v>212</v>
      </c>
      <c r="H735" s="18"/>
      <c r="I735" s="49" t="s">
        <v>325</v>
      </c>
      <c r="J735" s="18"/>
      <c r="K735" s="18" t="s">
        <v>318</v>
      </c>
      <c r="L735" s="25"/>
    </row>
    <row r="736" hidden="1" customHeight="1" spans="1:12">
      <c r="A736" s="14" t="str">
        <f t="shared" si="16"/>
        <v>0x000000DC</v>
      </c>
      <c r="B736" s="15">
        <f>SUM_HEX(C735:F735,B735,3)</f>
        <v>220</v>
      </c>
      <c r="C736" s="16" t="s">
        <v>23</v>
      </c>
      <c r="D736" s="16"/>
      <c r="E736" s="16"/>
      <c r="F736" s="16"/>
      <c r="G736" s="46" t="s">
        <v>157</v>
      </c>
      <c r="H736" s="46" t="s">
        <v>326</v>
      </c>
      <c r="I736" s="24" t="s">
        <v>327</v>
      </c>
      <c r="J736" s="18"/>
      <c r="K736" s="18" t="s">
        <v>328</v>
      </c>
      <c r="L736" s="25" t="s">
        <v>272</v>
      </c>
    </row>
    <row r="737" hidden="1" customHeight="1" spans="1:12">
      <c r="A737" s="14" t="str">
        <f t="shared" si="16"/>
        <v>0x000000E0</v>
      </c>
      <c r="B737" s="15">
        <f>SUM_HEX(C736:F736,B736,3)</f>
        <v>224</v>
      </c>
      <c r="C737" s="16" t="s">
        <v>329</v>
      </c>
      <c r="D737" s="16"/>
      <c r="E737" s="16"/>
      <c r="F737" s="16"/>
      <c r="G737" s="47"/>
      <c r="H737" s="47"/>
      <c r="I737" s="24"/>
      <c r="J737" s="18"/>
      <c r="K737" s="18"/>
      <c r="L737" s="25"/>
    </row>
    <row r="738" hidden="1" customHeight="1" spans="1:12">
      <c r="A738" s="14" t="str">
        <f t="shared" si="16"/>
        <v>0x000000E4</v>
      </c>
      <c r="B738" s="15">
        <f>SUM_HEX(C737:F737,B737,3)</f>
        <v>228</v>
      </c>
      <c r="C738" s="16" t="s">
        <v>330</v>
      </c>
      <c r="D738" s="16" t="s">
        <v>330</v>
      </c>
      <c r="E738" s="16" t="s">
        <v>330</v>
      </c>
      <c r="F738" s="16"/>
      <c r="G738" s="47"/>
      <c r="H738" s="47"/>
      <c r="I738" s="24"/>
      <c r="J738" s="18"/>
      <c r="K738" s="18"/>
      <c r="L738" s="25"/>
    </row>
    <row r="739" hidden="1" customHeight="1" spans="1:12">
      <c r="A739" s="14" t="str">
        <f t="shared" si="16"/>
        <v>0x000000F0</v>
      </c>
      <c r="B739" s="15">
        <f>SUM_HEX(C738:F738,B738,3)</f>
        <v>240</v>
      </c>
      <c r="C739" s="16" t="s">
        <v>23</v>
      </c>
      <c r="D739" s="16" t="s">
        <v>23</v>
      </c>
      <c r="E739" s="16" t="s">
        <v>23</v>
      </c>
      <c r="F739" s="16"/>
      <c r="G739" s="47"/>
      <c r="H739" s="47"/>
      <c r="I739" s="24"/>
      <c r="J739" s="18"/>
      <c r="K739" s="18"/>
      <c r="L739" s="25"/>
    </row>
    <row r="740" hidden="1" customHeight="1" spans="1:12">
      <c r="A740" s="14" t="str">
        <f t="shared" si="16"/>
        <v>0x000000FC</v>
      </c>
      <c r="B740" s="15">
        <f>SUM_HEX(C739:F739,B739,3)</f>
        <v>252</v>
      </c>
      <c r="C740" s="16" t="s">
        <v>274</v>
      </c>
      <c r="D740" s="16"/>
      <c r="E740" s="16"/>
      <c r="F740" s="16"/>
      <c r="G740" s="48"/>
      <c r="H740" s="48"/>
      <c r="I740" s="24"/>
      <c r="J740" s="18"/>
      <c r="K740" s="18"/>
      <c r="L740" s="25"/>
    </row>
    <row r="741" hidden="1" customHeight="1" spans="1:12">
      <c r="A741" s="14" t="str">
        <f t="shared" si="16"/>
        <v>0x00000100</v>
      </c>
      <c r="B741" s="15">
        <f>SUM_HEX(C740:F740,B740,3)</f>
        <v>256</v>
      </c>
      <c r="C741" s="16" t="s">
        <v>23</v>
      </c>
      <c r="D741" s="16"/>
      <c r="E741" s="16"/>
      <c r="F741" s="16"/>
      <c r="G741" s="46" t="s">
        <v>157</v>
      </c>
      <c r="H741" s="46" t="s">
        <v>326</v>
      </c>
      <c r="I741" s="24" t="s">
        <v>331</v>
      </c>
      <c r="J741" s="18"/>
      <c r="K741" s="18" t="s">
        <v>332</v>
      </c>
      <c r="L741" s="25" t="s">
        <v>333</v>
      </c>
    </row>
    <row r="742" hidden="1" customHeight="1" spans="1:12">
      <c r="A742" s="14" t="str">
        <f t="shared" si="16"/>
        <v>0x00000104</v>
      </c>
      <c r="B742" s="15">
        <f>SUM_HEX(C741:F741,B741,3)</f>
        <v>260</v>
      </c>
      <c r="C742" s="16" t="s">
        <v>334</v>
      </c>
      <c r="D742" s="16"/>
      <c r="E742" s="16"/>
      <c r="F742" s="16"/>
      <c r="G742" s="47"/>
      <c r="H742" s="47"/>
      <c r="I742" s="24"/>
      <c r="J742" s="18"/>
      <c r="K742" s="18"/>
      <c r="L742" s="25"/>
    </row>
    <row r="743" hidden="1" customHeight="1" spans="1:12">
      <c r="A743" s="14" t="str">
        <f t="shared" si="16"/>
        <v>0x00000108</v>
      </c>
      <c r="B743" s="15">
        <f>SUM_HEX(C742:F742,B742,3)</f>
        <v>264</v>
      </c>
      <c r="C743" s="16" t="s">
        <v>23</v>
      </c>
      <c r="D743" s="16" t="s">
        <v>23</v>
      </c>
      <c r="E743" s="16" t="s">
        <v>23</v>
      </c>
      <c r="F743" s="16"/>
      <c r="G743" s="47"/>
      <c r="H743" s="47"/>
      <c r="I743" s="24"/>
      <c r="J743" s="18"/>
      <c r="K743" s="18"/>
      <c r="L743" s="25"/>
    </row>
    <row r="744" hidden="1" customHeight="1" spans="1:12">
      <c r="A744" s="14" t="str">
        <f t="shared" si="16"/>
        <v>0x00000114</v>
      </c>
      <c r="B744" s="15">
        <f>SUM_HEX(C743:F743,B743,3)</f>
        <v>276</v>
      </c>
      <c r="C744" s="16" t="s">
        <v>23</v>
      </c>
      <c r="D744" s="16" t="s">
        <v>23</v>
      </c>
      <c r="E744" s="16" t="s">
        <v>23</v>
      </c>
      <c r="F744" s="16"/>
      <c r="G744" s="47"/>
      <c r="H744" s="47"/>
      <c r="I744" s="24"/>
      <c r="J744" s="18"/>
      <c r="K744" s="18"/>
      <c r="L744" s="25"/>
    </row>
    <row r="745" hidden="1" customHeight="1" spans="1:12">
      <c r="A745" s="14" t="str">
        <f t="shared" si="16"/>
        <v>0x00000120</v>
      </c>
      <c r="B745" s="15">
        <f>SUM_HEX(C744:F744,B744,3)</f>
        <v>288</v>
      </c>
      <c r="C745" s="16" t="s">
        <v>274</v>
      </c>
      <c r="D745" s="16"/>
      <c r="E745" s="16"/>
      <c r="F745" s="16"/>
      <c r="G745" s="48"/>
      <c r="H745" s="48"/>
      <c r="I745" s="24"/>
      <c r="J745" s="18"/>
      <c r="K745" s="18"/>
      <c r="L745" s="25"/>
    </row>
    <row r="746" hidden="1" customHeight="1" spans="1:12">
      <c r="A746" s="14" t="str">
        <f t="shared" si="16"/>
        <v>0x00000124</v>
      </c>
      <c r="B746" s="15">
        <f>SUM_HEX(C745:F745,B745,3)</f>
        <v>292</v>
      </c>
      <c r="C746" s="16" t="s">
        <v>23</v>
      </c>
      <c r="D746" s="16"/>
      <c r="E746" s="16"/>
      <c r="F746" s="16"/>
      <c r="G746" s="46" t="s">
        <v>157</v>
      </c>
      <c r="H746" s="46" t="s">
        <v>335</v>
      </c>
      <c r="I746" s="24" t="s">
        <v>336</v>
      </c>
      <c r="J746" s="18"/>
      <c r="K746" s="18" t="s">
        <v>337</v>
      </c>
      <c r="L746" s="25"/>
    </row>
    <row r="747" hidden="1" customHeight="1" spans="1:12">
      <c r="A747" s="14" t="str">
        <f t="shared" si="16"/>
        <v>0x00000128</v>
      </c>
      <c r="B747" s="15">
        <f>SUM_HEX(C746:F746,B746,3)</f>
        <v>296</v>
      </c>
      <c r="C747" s="16" t="s">
        <v>338</v>
      </c>
      <c r="D747" s="16"/>
      <c r="E747" s="16"/>
      <c r="F747" s="16"/>
      <c r="G747" s="47"/>
      <c r="H747" s="47"/>
      <c r="I747" s="24"/>
      <c r="J747" s="18"/>
      <c r="K747" s="18"/>
      <c r="L747" s="25"/>
    </row>
    <row r="748" hidden="1" customHeight="1" spans="1:12">
      <c r="A748" s="14" t="str">
        <f t="shared" si="16"/>
        <v>0x0000012C</v>
      </c>
      <c r="B748" s="15">
        <f>SUM_HEX(C747:F747,B747,3)</f>
        <v>300</v>
      </c>
      <c r="C748" s="16" t="s">
        <v>274</v>
      </c>
      <c r="D748" s="16" t="s">
        <v>23</v>
      </c>
      <c r="E748" s="16"/>
      <c r="F748" s="16"/>
      <c r="G748" s="47"/>
      <c r="H748" s="47"/>
      <c r="I748" s="24"/>
      <c r="J748" s="18"/>
      <c r="K748" s="18"/>
      <c r="L748" s="25"/>
    </row>
    <row r="749" hidden="1" customHeight="1" spans="1:12">
      <c r="A749" s="14" t="str">
        <f t="shared" si="16"/>
        <v>0x00000134</v>
      </c>
      <c r="B749" s="15">
        <f>SUM_HEX(C748:F748,B748,3)</f>
        <v>308</v>
      </c>
      <c r="C749" s="16" t="s">
        <v>274</v>
      </c>
      <c r="D749" s="16"/>
      <c r="E749" s="16"/>
      <c r="F749" s="16"/>
      <c r="G749" s="48"/>
      <c r="H749" s="48"/>
      <c r="I749" s="24"/>
      <c r="J749" s="18"/>
      <c r="K749" s="18"/>
      <c r="L749" s="25"/>
    </row>
    <row r="750" hidden="1" customHeight="1" spans="1:12">
      <c r="A750" s="14" t="str">
        <f t="shared" si="16"/>
        <v>0x00000138</v>
      </c>
      <c r="B750" s="15">
        <f>SUM_HEX(C749:F749,B749,3)</f>
        <v>312</v>
      </c>
      <c r="C750" s="16" t="s">
        <v>23</v>
      </c>
      <c r="D750" s="16"/>
      <c r="E750" s="16"/>
      <c r="F750" s="16"/>
      <c r="G750" s="46" t="s">
        <v>157</v>
      </c>
      <c r="H750" s="46" t="s">
        <v>335</v>
      </c>
      <c r="I750" s="24" t="s">
        <v>339</v>
      </c>
      <c r="J750" s="18"/>
      <c r="K750" s="18" t="s">
        <v>337</v>
      </c>
      <c r="L750" s="25"/>
    </row>
    <row r="751" hidden="1" customHeight="1" spans="1:12">
      <c r="A751" s="14" t="str">
        <f t="shared" si="16"/>
        <v>0x0000013C</v>
      </c>
      <c r="B751" s="15">
        <f>SUM_HEX(C750:F750,B750,3)</f>
        <v>316</v>
      </c>
      <c r="C751" s="16" t="s">
        <v>340</v>
      </c>
      <c r="D751" s="16"/>
      <c r="E751" s="16"/>
      <c r="F751" s="16"/>
      <c r="G751" s="47"/>
      <c r="H751" s="47"/>
      <c r="I751" s="24"/>
      <c r="J751" s="18"/>
      <c r="K751" s="18"/>
      <c r="L751" s="25"/>
    </row>
    <row r="752" hidden="1" customHeight="1" spans="1:12">
      <c r="A752" s="14" t="str">
        <f t="shared" si="16"/>
        <v>0x00000140</v>
      </c>
      <c r="B752" s="15">
        <f>SUM_HEX(C751:F751,B751,3)</f>
        <v>320</v>
      </c>
      <c r="C752" s="16" t="s">
        <v>274</v>
      </c>
      <c r="D752" s="16" t="s">
        <v>23</v>
      </c>
      <c r="E752" s="16"/>
      <c r="F752" s="16"/>
      <c r="G752" s="47"/>
      <c r="H752" s="47"/>
      <c r="I752" s="24"/>
      <c r="J752" s="18"/>
      <c r="K752" s="18"/>
      <c r="L752" s="25"/>
    </row>
    <row r="753" hidden="1" customHeight="1" spans="1:12">
      <c r="A753" s="14" t="str">
        <f t="shared" si="16"/>
        <v>0x00000148</v>
      </c>
      <c r="B753" s="15">
        <f>SUM_HEX(C752:F752,B752,3)</f>
        <v>328</v>
      </c>
      <c r="C753" s="16" t="s">
        <v>274</v>
      </c>
      <c r="D753" s="16"/>
      <c r="E753" s="16"/>
      <c r="F753" s="16"/>
      <c r="G753" s="48"/>
      <c r="H753" s="48"/>
      <c r="I753" s="24"/>
      <c r="J753" s="18"/>
      <c r="K753" s="18"/>
      <c r="L753" s="25"/>
    </row>
    <row r="754" hidden="1" customHeight="1" spans="1:12">
      <c r="A754" s="14" t="str">
        <f t="shared" si="16"/>
        <v>0x0000014C</v>
      </c>
      <c r="B754" s="15">
        <f>SUM_HEX(C753:F753,B753,3)</f>
        <v>332</v>
      </c>
      <c r="C754" s="16" t="s">
        <v>23</v>
      </c>
      <c r="D754" s="16"/>
      <c r="E754" s="16"/>
      <c r="F754" s="16"/>
      <c r="G754" s="46" t="s">
        <v>157</v>
      </c>
      <c r="H754" s="46" t="s">
        <v>335</v>
      </c>
      <c r="I754" s="24" t="s">
        <v>341</v>
      </c>
      <c r="J754" s="18"/>
      <c r="K754" s="18" t="s">
        <v>337</v>
      </c>
      <c r="L754" s="25"/>
    </row>
    <row r="755" hidden="1" customHeight="1" spans="1:12">
      <c r="A755" s="14" t="str">
        <f t="shared" si="16"/>
        <v>0x00000150</v>
      </c>
      <c r="B755" s="15">
        <f>SUM_HEX(C754:F754,B754,3)</f>
        <v>336</v>
      </c>
      <c r="C755" s="16" t="s">
        <v>342</v>
      </c>
      <c r="D755" s="16"/>
      <c r="E755" s="16"/>
      <c r="F755" s="16"/>
      <c r="G755" s="47"/>
      <c r="H755" s="47"/>
      <c r="I755" s="24"/>
      <c r="J755" s="18"/>
      <c r="K755" s="18"/>
      <c r="L755" s="25"/>
    </row>
    <row r="756" hidden="1" customHeight="1" spans="1:12">
      <c r="A756" s="14" t="str">
        <f t="shared" si="16"/>
        <v>0x00000154</v>
      </c>
      <c r="B756" s="15">
        <f>SUM_HEX(C755:F755,B755,3)</f>
        <v>340</v>
      </c>
      <c r="C756" s="16" t="s">
        <v>274</v>
      </c>
      <c r="D756" s="16" t="s">
        <v>23</v>
      </c>
      <c r="E756" s="16"/>
      <c r="F756" s="16"/>
      <c r="G756" s="47"/>
      <c r="H756" s="47"/>
      <c r="I756" s="24"/>
      <c r="J756" s="18"/>
      <c r="K756" s="18"/>
      <c r="L756" s="25"/>
    </row>
    <row r="757" hidden="1" customHeight="1" spans="1:12">
      <c r="A757" s="14" t="str">
        <f t="shared" ref="A757:A820" si="17">"0x"&amp;DEC2HEX(B757,8)</f>
        <v>0x0000015C</v>
      </c>
      <c r="B757" s="15">
        <f>SUM_HEX(C756:F756,B756,3)</f>
        <v>348</v>
      </c>
      <c r="C757" s="16" t="s">
        <v>274</v>
      </c>
      <c r="D757" s="16"/>
      <c r="E757" s="16"/>
      <c r="F757" s="16"/>
      <c r="G757" s="48"/>
      <c r="H757" s="48"/>
      <c r="I757" s="24"/>
      <c r="J757" s="18"/>
      <c r="K757" s="18"/>
      <c r="L757" s="25"/>
    </row>
    <row r="758" hidden="1" customHeight="1" spans="1:12">
      <c r="A758" s="14" t="str">
        <f t="shared" si="17"/>
        <v>0x00000160</v>
      </c>
      <c r="B758" s="15">
        <f>SUM_HEX(C757:F757,B757,3)</f>
        <v>352</v>
      </c>
      <c r="C758" s="16" t="s">
        <v>23</v>
      </c>
      <c r="D758" s="16"/>
      <c r="E758" s="16"/>
      <c r="F758" s="16"/>
      <c r="G758" s="18" t="s">
        <v>212</v>
      </c>
      <c r="H758" s="18"/>
      <c r="I758" s="24" t="s">
        <v>343</v>
      </c>
      <c r="J758" s="50"/>
      <c r="K758" s="18" t="s">
        <v>344</v>
      </c>
      <c r="L758" s="25"/>
    </row>
    <row r="759" hidden="1" customHeight="1" spans="1:12">
      <c r="A759" s="14" t="str">
        <f t="shared" si="17"/>
        <v>0x00000164</v>
      </c>
      <c r="B759" s="15">
        <f>SUM_HEX(C758:F758,B758,3)</f>
        <v>356</v>
      </c>
      <c r="C759" s="16" t="s">
        <v>148</v>
      </c>
      <c r="D759" s="16"/>
      <c r="E759" s="16"/>
      <c r="F759" s="16"/>
      <c r="G759" s="18" t="s">
        <v>212</v>
      </c>
      <c r="H759" s="18"/>
      <c r="I759" s="24" t="s">
        <v>345</v>
      </c>
      <c r="J759" s="50"/>
      <c r="K759" s="18" t="s">
        <v>346</v>
      </c>
      <c r="L759" s="25"/>
    </row>
    <row r="760" hidden="1" customHeight="1" spans="1:12">
      <c r="A760" s="14" t="str">
        <f t="shared" si="17"/>
        <v>0x00000168</v>
      </c>
      <c r="B760" s="15">
        <f>SUM_HEX(C759:F759,B759,3)</f>
        <v>360</v>
      </c>
      <c r="C760" s="16" t="s">
        <v>148</v>
      </c>
      <c r="D760" s="16"/>
      <c r="E760" s="16"/>
      <c r="F760" s="16"/>
      <c r="G760" s="18" t="s">
        <v>212</v>
      </c>
      <c r="H760" s="18"/>
      <c r="I760" s="24" t="s">
        <v>347</v>
      </c>
      <c r="J760" s="50"/>
      <c r="K760" s="18" t="s">
        <v>346</v>
      </c>
      <c r="L760" s="25"/>
    </row>
    <row r="761" hidden="1" customHeight="1" spans="1:12">
      <c r="A761" s="14" t="str">
        <f t="shared" si="17"/>
        <v>0x0000016C</v>
      </c>
      <c r="B761" s="15">
        <f>SUM_HEX(C760:F760,B760,3)</f>
        <v>364</v>
      </c>
      <c r="C761" s="16" t="s">
        <v>23</v>
      </c>
      <c r="D761" s="16"/>
      <c r="E761" s="16"/>
      <c r="F761" s="16"/>
      <c r="G761" s="18" t="s">
        <v>212</v>
      </c>
      <c r="H761" s="18"/>
      <c r="I761" s="24" t="s">
        <v>348</v>
      </c>
      <c r="J761" s="50"/>
      <c r="K761" s="18"/>
      <c r="L761" s="25"/>
    </row>
    <row r="762" hidden="1" customHeight="1" spans="1:12">
      <c r="A762" s="14" t="str">
        <f t="shared" si="17"/>
        <v>0x00000170</v>
      </c>
      <c r="B762" s="15">
        <f>SUM_HEX(C761:F761,B761,3)</f>
        <v>368</v>
      </c>
      <c r="C762" s="16" t="s">
        <v>23</v>
      </c>
      <c r="D762" s="16"/>
      <c r="E762" s="16"/>
      <c r="F762" s="16"/>
      <c r="G762" s="18" t="s">
        <v>33</v>
      </c>
      <c r="H762" s="18"/>
      <c r="I762" s="24" t="s">
        <v>349</v>
      </c>
      <c r="J762" s="18"/>
      <c r="K762" s="18"/>
      <c r="L762" s="25"/>
    </row>
    <row r="763" hidden="1" customHeight="1" spans="1:12">
      <c r="A763" s="14" t="str">
        <f t="shared" si="17"/>
        <v>0x00000174</v>
      </c>
      <c r="B763" s="15">
        <f>SUM_HEX(C762:F762,B762,3)</f>
        <v>372</v>
      </c>
      <c r="C763" s="16" t="s">
        <v>23</v>
      </c>
      <c r="D763" s="16"/>
      <c r="E763" s="16"/>
      <c r="F763" s="16"/>
      <c r="G763" s="17"/>
      <c r="H763" s="17"/>
      <c r="I763" s="22"/>
      <c r="J763" s="17"/>
      <c r="K763" s="17"/>
      <c r="L763" s="23"/>
    </row>
    <row r="764" hidden="1" customHeight="1" spans="1:12">
      <c r="A764" s="14" t="str">
        <f t="shared" si="17"/>
        <v>0x00000178</v>
      </c>
      <c r="B764" s="15">
        <f>SUM_HEX(C763:F763,B763,3)</f>
        <v>376</v>
      </c>
      <c r="C764" s="16" t="s">
        <v>23</v>
      </c>
      <c r="D764" s="16"/>
      <c r="E764" s="16"/>
      <c r="F764" s="16"/>
      <c r="G764" s="18" t="s">
        <v>212</v>
      </c>
      <c r="H764" s="18"/>
      <c r="I764" s="24" t="s">
        <v>350</v>
      </c>
      <c r="J764" s="18"/>
      <c r="K764" s="18"/>
      <c r="L764" s="25" t="s">
        <v>272</v>
      </c>
    </row>
    <row r="765" hidden="1" customHeight="1" spans="1:12">
      <c r="A765" s="14" t="str">
        <f t="shared" si="17"/>
        <v>0x0000017C</v>
      </c>
      <c r="B765" s="15">
        <f>SUM_HEX(C764:F764,B764,3)</f>
        <v>380</v>
      </c>
      <c r="C765" s="16" t="s">
        <v>23</v>
      </c>
      <c r="D765" s="16"/>
      <c r="E765" s="16"/>
      <c r="F765" s="16"/>
      <c r="G765" s="18" t="s">
        <v>212</v>
      </c>
      <c r="H765" s="18"/>
      <c r="I765" s="24" t="s">
        <v>351</v>
      </c>
      <c r="J765" s="18"/>
      <c r="K765" s="18"/>
      <c r="L765" s="25"/>
    </row>
    <row r="766" hidden="1" customHeight="1" spans="1:12">
      <c r="A766" s="14" t="str">
        <f t="shared" si="17"/>
        <v>0x00000180</v>
      </c>
      <c r="B766" s="15">
        <f>SUM_HEX(C765:F765,B765,3)</f>
        <v>384</v>
      </c>
      <c r="C766" s="16" t="s">
        <v>23</v>
      </c>
      <c r="D766" s="16"/>
      <c r="E766" s="16"/>
      <c r="F766" s="16"/>
      <c r="G766" s="18" t="s">
        <v>212</v>
      </c>
      <c r="H766" s="18"/>
      <c r="I766" s="24" t="s">
        <v>352</v>
      </c>
      <c r="J766" s="18"/>
      <c r="K766" s="18"/>
      <c r="L766" s="25"/>
    </row>
    <row r="767" hidden="1" customHeight="1" spans="1:12">
      <c r="A767" s="14" t="str">
        <f t="shared" si="17"/>
        <v>0x00000184</v>
      </c>
      <c r="B767" s="15">
        <f>SUM_HEX(C766:F766,B766,3)</f>
        <v>388</v>
      </c>
      <c r="C767" s="16" t="s">
        <v>353</v>
      </c>
      <c r="D767" s="16"/>
      <c r="E767" s="16"/>
      <c r="F767" s="16"/>
      <c r="G767" s="18" t="s">
        <v>212</v>
      </c>
      <c r="H767" s="18"/>
      <c r="I767" s="24" t="s">
        <v>354</v>
      </c>
      <c r="J767" s="18"/>
      <c r="K767" s="18"/>
      <c r="L767" s="25"/>
    </row>
    <row r="768" hidden="1" customHeight="1" spans="1:12">
      <c r="A768" s="14" t="str">
        <f t="shared" si="17"/>
        <v>0x00000188</v>
      </c>
      <c r="B768" s="15">
        <f>SUM_HEX(C767:F767,B767,3)</f>
        <v>392</v>
      </c>
      <c r="C768" s="16" t="s">
        <v>29</v>
      </c>
      <c r="D768" s="16"/>
      <c r="E768" s="16"/>
      <c r="F768" s="16"/>
      <c r="G768" s="18" t="s">
        <v>15</v>
      </c>
      <c r="H768" s="18"/>
      <c r="I768" s="24"/>
      <c r="J768" s="18"/>
      <c r="K768" s="18"/>
      <c r="L768" s="25"/>
    </row>
    <row r="769" hidden="1" customHeight="1" spans="1:12">
      <c r="A769" s="14" t="str">
        <f t="shared" si="17"/>
        <v>0x0000018C</v>
      </c>
      <c r="B769" s="15">
        <f>SUM_HEX(C768:F768,B768,3)</f>
        <v>396</v>
      </c>
      <c r="C769" s="16" t="s">
        <v>355</v>
      </c>
      <c r="D769" s="16"/>
      <c r="E769" s="16"/>
      <c r="F769" s="16"/>
      <c r="G769" s="18" t="s">
        <v>15</v>
      </c>
      <c r="H769" s="18"/>
      <c r="I769" s="24" t="s">
        <v>356</v>
      </c>
      <c r="J769" s="18"/>
      <c r="K769" s="18"/>
      <c r="L769" s="25"/>
    </row>
    <row r="770" hidden="1" customHeight="1" spans="1:12">
      <c r="A770" s="14" t="str">
        <f t="shared" si="17"/>
        <v>0x00000190</v>
      </c>
      <c r="B770" s="15">
        <f>SUM_HEX(C769:F769,B769,3)</f>
        <v>400</v>
      </c>
      <c r="C770" s="16" t="s">
        <v>23</v>
      </c>
      <c r="D770" s="16"/>
      <c r="E770" s="16"/>
      <c r="F770" s="16"/>
      <c r="G770" s="46" t="s">
        <v>157</v>
      </c>
      <c r="H770" s="46" t="s">
        <v>212</v>
      </c>
      <c r="I770" s="18" t="s">
        <v>357</v>
      </c>
      <c r="J770" s="18"/>
      <c r="K770" s="18"/>
      <c r="L770" s="25"/>
    </row>
    <row r="771" hidden="1" customHeight="1" spans="1:12">
      <c r="A771" s="14" t="str">
        <f t="shared" si="17"/>
        <v>0x00000194</v>
      </c>
      <c r="B771" s="15">
        <f>SUM_HEX(C770:F770,B770,3)</f>
        <v>404</v>
      </c>
      <c r="C771" s="16" t="s">
        <v>358</v>
      </c>
      <c r="D771" s="16"/>
      <c r="E771" s="16"/>
      <c r="F771" s="16"/>
      <c r="G771" s="47"/>
      <c r="H771" s="47"/>
      <c r="I771" s="18"/>
      <c r="J771" s="18"/>
      <c r="K771" s="18"/>
      <c r="L771" s="25"/>
    </row>
    <row r="772" hidden="1" customHeight="1" spans="1:12">
      <c r="A772" s="14" t="str">
        <f t="shared" si="17"/>
        <v>0x00000198</v>
      </c>
      <c r="B772" s="15">
        <f>SUM_HEX(C771:F771,B771,3)</f>
        <v>408</v>
      </c>
      <c r="C772" s="16" t="s">
        <v>359</v>
      </c>
      <c r="D772" s="16" t="s">
        <v>23</v>
      </c>
      <c r="E772" s="16"/>
      <c r="F772" s="16"/>
      <c r="G772" s="47"/>
      <c r="H772" s="47"/>
      <c r="I772" s="18"/>
      <c r="J772" s="18"/>
      <c r="K772" s="18"/>
      <c r="L772" s="25"/>
    </row>
    <row r="773" hidden="1" customHeight="1" spans="1:12">
      <c r="A773" s="14" t="str">
        <f t="shared" si="17"/>
        <v>0x000001A0</v>
      </c>
      <c r="B773" s="15">
        <f>SUM_HEX(C772:F772,B772,3)</f>
        <v>416</v>
      </c>
      <c r="C773" s="16" t="s">
        <v>274</v>
      </c>
      <c r="D773" s="16"/>
      <c r="E773" s="16"/>
      <c r="F773" s="16"/>
      <c r="G773" s="48"/>
      <c r="H773" s="48"/>
      <c r="I773" s="18"/>
      <c r="J773" s="18"/>
      <c r="K773" s="18"/>
      <c r="L773" s="25"/>
    </row>
    <row r="774" hidden="1" customHeight="1" spans="1:12">
      <c r="A774" s="14" t="str">
        <f t="shared" si="17"/>
        <v>0x000001A4</v>
      </c>
      <c r="B774" s="15">
        <f>SUM_HEX(C773:F773,B773,3)</f>
        <v>420</v>
      </c>
      <c r="C774" s="16" t="s">
        <v>23</v>
      </c>
      <c r="D774" s="16"/>
      <c r="E774" s="16"/>
      <c r="F774" s="16"/>
      <c r="G774" s="18" t="s">
        <v>15</v>
      </c>
      <c r="H774" s="18"/>
      <c r="I774" s="24" t="s">
        <v>360</v>
      </c>
      <c r="J774" s="18"/>
      <c r="K774" s="18"/>
      <c r="L774" s="25"/>
    </row>
    <row r="775" hidden="1" customHeight="1" spans="1:12">
      <c r="A775" s="14" t="str">
        <f t="shared" si="17"/>
        <v>0x000001A8</v>
      </c>
      <c r="B775" s="15">
        <f>SUM_HEX(C774:F774,B774,3)</f>
        <v>424</v>
      </c>
      <c r="C775" s="16" t="s">
        <v>23</v>
      </c>
      <c r="D775" s="16"/>
      <c r="E775" s="16"/>
      <c r="F775" s="16"/>
      <c r="G775" s="46" t="s">
        <v>157</v>
      </c>
      <c r="H775" s="46" t="s">
        <v>326</v>
      </c>
      <c r="I775" s="24" t="s">
        <v>361</v>
      </c>
      <c r="J775" s="18"/>
      <c r="K775" s="18"/>
      <c r="L775" s="25" t="s">
        <v>272</v>
      </c>
    </row>
    <row r="776" hidden="1" customHeight="1" spans="1:12">
      <c r="A776" s="14" t="str">
        <f t="shared" si="17"/>
        <v>0x000001AC</v>
      </c>
      <c r="B776" s="15">
        <f>SUM_HEX(C775:F775,B775,3)</f>
        <v>428</v>
      </c>
      <c r="C776" s="16" t="s">
        <v>362</v>
      </c>
      <c r="D776" s="16"/>
      <c r="E776" s="16"/>
      <c r="F776" s="16"/>
      <c r="G776" s="47"/>
      <c r="H776" s="47"/>
      <c r="I776" s="18"/>
      <c r="J776" s="18"/>
      <c r="K776" s="18"/>
      <c r="L776" s="25"/>
    </row>
    <row r="777" hidden="1" customHeight="1" spans="1:12">
      <c r="A777" s="14" t="str">
        <f t="shared" si="17"/>
        <v>0x000001B0</v>
      </c>
      <c r="B777" s="15">
        <f>SUM_HEX(C776:F776,B776,3)</f>
        <v>432</v>
      </c>
      <c r="C777" s="16" t="s">
        <v>330</v>
      </c>
      <c r="D777" s="16" t="s">
        <v>330</v>
      </c>
      <c r="E777" s="16" t="s">
        <v>330</v>
      </c>
      <c r="F777" s="16"/>
      <c r="G777" s="47"/>
      <c r="H777" s="47"/>
      <c r="I777" s="18"/>
      <c r="J777" s="18"/>
      <c r="K777" s="18"/>
      <c r="L777" s="25"/>
    </row>
    <row r="778" hidden="1" customHeight="1" spans="1:12">
      <c r="A778" s="14" t="str">
        <f t="shared" si="17"/>
        <v>0x000001BC</v>
      </c>
      <c r="B778" s="15">
        <f>SUM_HEX(C777:F777,B777,3)</f>
        <v>444</v>
      </c>
      <c r="C778" s="16" t="s">
        <v>23</v>
      </c>
      <c r="D778" s="16" t="s">
        <v>23</v>
      </c>
      <c r="E778" s="16" t="s">
        <v>23</v>
      </c>
      <c r="F778" s="16"/>
      <c r="G778" s="47"/>
      <c r="H778" s="47"/>
      <c r="I778" s="18"/>
      <c r="J778" s="18"/>
      <c r="K778" s="18"/>
      <c r="L778" s="25"/>
    </row>
    <row r="779" hidden="1" customHeight="1" spans="1:12">
      <c r="A779" s="14" t="str">
        <f t="shared" si="17"/>
        <v>0x000001C8</v>
      </c>
      <c r="B779" s="15">
        <f>SUM_HEX(C778:F778,B778,3)</f>
        <v>456</v>
      </c>
      <c r="C779" s="16" t="s">
        <v>274</v>
      </c>
      <c r="D779" s="16"/>
      <c r="E779" s="16"/>
      <c r="F779" s="16"/>
      <c r="G779" s="48"/>
      <c r="H779" s="48"/>
      <c r="I779" s="18"/>
      <c r="J779" s="18"/>
      <c r="K779" s="18"/>
      <c r="L779" s="25"/>
    </row>
    <row r="780" hidden="1" customHeight="1" spans="1:12">
      <c r="A780" s="14" t="str">
        <f t="shared" si="17"/>
        <v>0x000001CC</v>
      </c>
      <c r="B780" s="15">
        <f>SUM_HEX(C779:F779,B779,3)</f>
        <v>460</v>
      </c>
      <c r="C780" s="16" t="s">
        <v>23</v>
      </c>
      <c r="D780" s="16"/>
      <c r="E780" s="16"/>
      <c r="F780" s="16"/>
      <c r="G780" s="46" t="s">
        <v>157</v>
      </c>
      <c r="H780" s="46" t="s">
        <v>326</v>
      </c>
      <c r="I780" s="24" t="s">
        <v>363</v>
      </c>
      <c r="J780" s="18"/>
      <c r="K780" s="18"/>
      <c r="L780" s="25" t="s">
        <v>272</v>
      </c>
    </row>
    <row r="781" hidden="1" customHeight="1" spans="1:12">
      <c r="A781" s="14" t="str">
        <f t="shared" si="17"/>
        <v>0x000001D0</v>
      </c>
      <c r="B781" s="15">
        <f>SUM_HEX(C780:F780,B780,3)</f>
        <v>464</v>
      </c>
      <c r="C781" s="16" t="s">
        <v>364</v>
      </c>
      <c r="D781" s="16"/>
      <c r="E781" s="16"/>
      <c r="F781" s="16"/>
      <c r="G781" s="47"/>
      <c r="H781" s="47"/>
      <c r="I781" s="18"/>
      <c r="J781" s="18"/>
      <c r="K781" s="18"/>
      <c r="L781" s="25"/>
    </row>
    <row r="782" hidden="1" customHeight="1" spans="1:12">
      <c r="A782" s="14" t="str">
        <f t="shared" si="17"/>
        <v>0x000001D4</v>
      </c>
      <c r="B782" s="15">
        <f>SUM_HEX(C781:F781,B781,3)</f>
        <v>468</v>
      </c>
      <c r="C782" s="16" t="s">
        <v>330</v>
      </c>
      <c r="D782" s="16" t="s">
        <v>330</v>
      </c>
      <c r="E782" s="16" t="s">
        <v>330</v>
      </c>
      <c r="F782" s="16"/>
      <c r="G782" s="47"/>
      <c r="H782" s="47"/>
      <c r="I782" s="18"/>
      <c r="J782" s="18"/>
      <c r="K782" s="18"/>
      <c r="L782" s="25"/>
    </row>
    <row r="783" hidden="1" customHeight="1" spans="1:12">
      <c r="A783" s="14" t="str">
        <f t="shared" si="17"/>
        <v>0x000001E0</v>
      </c>
      <c r="B783" s="15">
        <f>SUM_HEX(C782:F782,B782,3)</f>
        <v>480</v>
      </c>
      <c r="C783" s="16" t="s">
        <v>23</v>
      </c>
      <c r="D783" s="16" t="s">
        <v>23</v>
      </c>
      <c r="E783" s="16" t="s">
        <v>23</v>
      </c>
      <c r="F783" s="16"/>
      <c r="G783" s="47"/>
      <c r="H783" s="47"/>
      <c r="I783" s="18"/>
      <c r="J783" s="18"/>
      <c r="K783" s="18"/>
      <c r="L783" s="25"/>
    </row>
    <row r="784" hidden="1" customHeight="1" spans="1:12">
      <c r="A784" s="14" t="str">
        <f t="shared" si="17"/>
        <v>0x000001EC</v>
      </c>
      <c r="B784" s="15">
        <f>SUM_HEX(C783:F783,B783,3)</f>
        <v>492</v>
      </c>
      <c r="C784" s="16" t="s">
        <v>274</v>
      </c>
      <c r="D784" s="16"/>
      <c r="E784" s="16"/>
      <c r="F784" s="16"/>
      <c r="G784" s="48"/>
      <c r="H784" s="48"/>
      <c r="I784" s="18"/>
      <c r="J784" s="18"/>
      <c r="K784" s="18"/>
      <c r="L784" s="25"/>
    </row>
    <row r="785" hidden="1" customHeight="1" spans="1:12">
      <c r="A785" s="14" t="str">
        <f t="shared" si="17"/>
        <v>0x000001F0</v>
      </c>
      <c r="B785" s="15">
        <f>SUM_HEX(C784:F784,B784,3)</f>
        <v>496</v>
      </c>
      <c r="C785" s="16" t="s">
        <v>23</v>
      </c>
      <c r="D785" s="16"/>
      <c r="E785" s="16"/>
      <c r="F785" s="16"/>
      <c r="G785" s="46" t="s">
        <v>157</v>
      </c>
      <c r="H785" s="46" t="s">
        <v>212</v>
      </c>
      <c r="I785" s="18" t="s">
        <v>365</v>
      </c>
      <c r="J785" s="18"/>
      <c r="K785" s="18"/>
      <c r="L785" s="25" t="s">
        <v>272</v>
      </c>
    </row>
    <row r="786" hidden="1" customHeight="1" spans="1:12">
      <c r="A786" s="14" t="str">
        <f t="shared" si="17"/>
        <v>0x000001F4</v>
      </c>
      <c r="B786" s="15">
        <f>SUM_HEX(C785:F785,B785,3)</f>
        <v>500</v>
      </c>
      <c r="C786" s="16" t="s">
        <v>366</v>
      </c>
      <c r="D786" s="16"/>
      <c r="E786" s="16"/>
      <c r="F786" s="16"/>
      <c r="G786" s="47"/>
      <c r="H786" s="47"/>
      <c r="I786" s="18"/>
      <c r="J786" s="18"/>
      <c r="K786" s="18"/>
      <c r="L786" s="25"/>
    </row>
    <row r="787" hidden="1" customHeight="1" spans="1:12">
      <c r="A787" s="14" t="str">
        <f t="shared" si="17"/>
        <v>0x000001F8</v>
      </c>
      <c r="B787" s="15">
        <f>SUM_HEX(C786:F786,B786,3)</f>
        <v>504</v>
      </c>
      <c r="C787" s="16" t="s">
        <v>330</v>
      </c>
      <c r="D787" s="16" t="s">
        <v>23</v>
      </c>
      <c r="E787" s="16"/>
      <c r="F787" s="16"/>
      <c r="G787" s="47"/>
      <c r="H787" s="47"/>
      <c r="I787" s="18"/>
      <c r="J787" s="18"/>
      <c r="K787" s="18"/>
      <c r="L787" s="25"/>
    </row>
    <row r="788" hidden="1" customHeight="1" spans="1:12">
      <c r="A788" s="14" t="str">
        <f t="shared" si="17"/>
        <v>0x00000200</v>
      </c>
      <c r="B788" s="15">
        <f>SUM_HEX(C787:F787,B787,3)</f>
        <v>512</v>
      </c>
      <c r="C788" s="16" t="s">
        <v>274</v>
      </c>
      <c r="D788" s="16"/>
      <c r="E788" s="16"/>
      <c r="F788" s="16"/>
      <c r="G788" s="48"/>
      <c r="H788" s="48"/>
      <c r="I788" s="18"/>
      <c r="J788" s="18"/>
      <c r="K788" s="18"/>
      <c r="L788" s="25"/>
    </row>
    <row r="789" hidden="1" customHeight="1" spans="1:12">
      <c r="A789" s="14" t="str">
        <f t="shared" si="17"/>
        <v>0x00000204</v>
      </c>
      <c r="B789" s="15">
        <f>SUM_HEX(C788:F788,B788,3)</f>
        <v>516</v>
      </c>
      <c r="C789" s="16" t="s">
        <v>23</v>
      </c>
      <c r="D789" s="16"/>
      <c r="E789" s="16"/>
      <c r="F789" s="16"/>
      <c r="G789" s="46" t="s">
        <v>157</v>
      </c>
      <c r="H789" s="46" t="s">
        <v>212</v>
      </c>
      <c r="I789" s="18" t="s">
        <v>367</v>
      </c>
      <c r="J789" s="18"/>
      <c r="K789" s="18"/>
      <c r="L789" s="25" t="s">
        <v>272</v>
      </c>
    </row>
    <row r="790" hidden="1" customHeight="1" spans="1:12">
      <c r="A790" s="14" t="str">
        <f t="shared" si="17"/>
        <v>0x00000208</v>
      </c>
      <c r="B790" s="15">
        <f>SUM_HEX(C789:F789,B789,3)</f>
        <v>520</v>
      </c>
      <c r="C790" s="16" t="s">
        <v>368</v>
      </c>
      <c r="D790" s="16"/>
      <c r="E790" s="16"/>
      <c r="F790" s="16"/>
      <c r="G790" s="47"/>
      <c r="H790" s="47"/>
      <c r="I790" s="18"/>
      <c r="J790" s="18"/>
      <c r="K790" s="18"/>
      <c r="L790" s="25"/>
    </row>
    <row r="791" hidden="1" customHeight="1" spans="1:12">
      <c r="A791" s="14" t="str">
        <f t="shared" si="17"/>
        <v>0x0000020C</v>
      </c>
      <c r="B791" s="15">
        <f>SUM_HEX(C790:F790,B790,3)</f>
        <v>524</v>
      </c>
      <c r="C791" s="16" t="s">
        <v>330</v>
      </c>
      <c r="D791" s="16" t="s">
        <v>23</v>
      </c>
      <c r="E791" s="16"/>
      <c r="F791" s="16"/>
      <c r="G791" s="47"/>
      <c r="H791" s="47"/>
      <c r="I791" s="18"/>
      <c r="J791" s="18"/>
      <c r="K791" s="18"/>
      <c r="L791" s="25"/>
    </row>
    <row r="792" hidden="1" customHeight="1" spans="1:12">
      <c r="A792" s="14" t="str">
        <f t="shared" si="17"/>
        <v>0x00000214</v>
      </c>
      <c r="B792" s="15">
        <f>SUM_HEX(C791:F791,B791,3)</f>
        <v>532</v>
      </c>
      <c r="C792" s="16" t="s">
        <v>274</v>
      </c>
      <c r="D792" s="16"/>
      <c r="E792" s="16"/>
      <c r="F792" s="16"/>
      <c r="G792" s="48"/>
      <c r="H792" s="48"/>
      <c r="I792" s="18"/>
      <c r="J792" s="18"/>
      <c r="K792" s="18"/>
      <c r="L792" s="25"/>
    </row>
    <row r="793" hidden="1" customHeight="1" spans="1:12">
      <c r="A793" s="14" t="str">
        <f t="shared" si="17"/>
        <v>0x00000218</v>
      </c>
      <c r="B793" s="15">
        <f>SUM_HEX(C792:F792,B792,3)</f>
        <v>536</v>
      </c>
      <c r="C793" s="16" t="s">
        <v>23</v>
      </c>
      <c r="D793" s="16" t="s">
        <v>23</v>
      </c>
      <c r="E793" s="16" t="s">
        <v>23</v>
      </c>
      <c r="F793" s="16"/>
      <c r="G793" s="18" t="s">
        <v>24</v>
      </c>
      <c r="H793" s="18" t="s">
        <v>536</v>
      </c>
      <c r="I793" s="24" t="s">
        <v>370</v>
      </c>
      <c r="J793" s="18"/>
      <c r="K793" s="18"/>
      <c r="L793" s="25"/>
    </row>
    <row r="794" hidden="1" customHeight="1" spans="1:12">
      <c r="A794" s="14" t="str">
        <f t="shared" si="17"/>
        <v>0x00000224</v>
      </c>
      <c r="B794" s="15">
        <f>SUM_HEX(C793:F793,B793,3)</f>
        <v>548</v>
      </c>
      <c r="C794" s="16" t="s">
        <v>23</v>
      </c>
      <c r="D794" s="16"/>
      <c r="E794" s="16"/>
      <c r="F794" s="16"/>
      <c r="G794" s="18" t="s">
        <v>15</v>
      </c>
      <c r="H794" s="18"/>
      <c r="I794" s="24" t="s">
        <v>371</v>
      </c>
      <c r="J794" s="18"/>
      <c r="K794" s="18" t="s">
        <v>372</v>
      </c>
      <c r="L794" s="25"/>
    </row>
    <row r="795" hidden="1" customHeight="1" spans="1:12">
      <c r="A795" s="14" t="str">
        <f t="shared" si="17"/>
        <v>0x00000228</v>
      </c>
      <c r="B795" s="15">
        <f>SUM_HEX(C794:F794,B794,3)</f>
        <v>552</v>
      </c>
      <c r="C795" s="16" t="s">
        <v>23</v>
      </c>
      <c r="D795" s="16"/>
      <c r="E795" s="16"/>
      <c r="F795" s="16"/>
      <c r="G795" s="18" t="s">
        <v>15</v>
      </c>
      <c r="H795" s="18"/>
      <c r="I795" s="24" t="s">
        <v>373</v>
      </c>
      <c r="J795" s="18"/>
      <c r="K795" s="18" t="s">
        <v>318</v>
      </c>
      <c r="L795" s="25" t="s">
        <v>374</v>
      </c>
    </row>
    <row r="796" hidden="1" customHeight="1" spans="1:12">
      <c r="A796" s="14" t="str">
        <f t="shared" si="17"/>
        <v>0x0000022C</v>
      </c>
      <c r="B796" s="15">
        <f>SUM_HEX(C795:F795,B795,3)</f>
        <v>556</v>
      </c>
      <c r="C796" s="16" t="s">
        <v>23</v>
      </c>
      <c r="D796" s="16"/>
      <c r="E796" s="16"/>
      <c r="F796" s="16"/>
      <c r="G796" s="46" t="s">
        <v>157</v>
      </c>
      <c r="H796" s="46" t="s">
        <v>326</v>
      </c>
      <c r="I796" s="24" t="s">
        <v>375</v>
      </c>
      <c r="J796" s="18"/>
      <c r="K796" s="18" t="s">
        <v>328</v>
      </c>
      <c r="L796" s="25" t="s">
        <v>272</v>
      </c>
    </row>
    <row r="797" hidden="1" customHeight="1" spans="1:12">
      <c r="A797" s="14" t="str">
        <f t="shared" si="17"/>
        <v>0x00000230</v>
      </c>
      <c r="B797" s="15">
        <f>SUM_HEX(C796:F796,B796,3)</f>
        <v>560</v>
      </c>
      <c r="C797" s="16" t="s">
        <v>376</v>
      </c>
      <c r="D797" s="16"/>
      <c r="E797" s="16"/>
      <c r="F797" s="16"/>
      <c r="G797" s="47"/>
      <c r="H797" s="47"/>
      <c r="I797" s="18"/>
      <c r="J797" s="18"/>
      <c r="K797" s="18"/>
      <c r="L797" s="25"/>
    </row>
    <row r="798" hidden="1" customHeight="1" spans="1:12">
      <c r="A798" s="14" t="str">
        <f t="shared" si="17"/>
        <v>0x00000234</v>
      </c>
      <c r="B798" s="15">
        <f>SUM_HEX(C797:F797,B797,3)</f>
        <v>564</v>
      </c>
      <c r="C798" s="16" t="s">
        <v>330</v>
      </c>
      <c r="D798" s="16" t="s">
        <v>330</v>
      </c>
      <c r="E798" s="16" t="s">
        <v>330</v>
      </c>
      <c r="F798" s="16"/>
      <c r="G798" s="47"/>
      <c r="H798" s="47"/>
      <c r="I798" s="18"/>
      <c r="J798" s="18"/>
      <c r="K798" s="18"/>
      <c r="L798" s="25"/>
    </row>
    <row r="799" hidden="1" customHeight="1" spans="1:12">
      <c r="A799" s="14" t="str">
        <f t="shared" si="17"/>
        <v>0x00000240</v>
      </c>
      <c r="B799" s="15">
        <f>SUM_HEX(C798:F798,B798,3)</f>
        <v>576</v>
      </c>
      <c r="C799" s="16" t="s">
        <v>23</v>
      </c>
      <c r="D799" s="16" t="s">
        <v>23</v>
      </c>
      <c r="E799" s="16" t="s">
        <v>23</v>
      </c>
      <c r="F799" s="16"/>
      <c r="G799" s="47"/>
      <c r="H799" s="47"/>
      <c r="I799" s="18"/>
      <c r="J799" s="18"/>
      <c r="K799" s="18"/>
      <c r="L799" s="25"/>
    </row>
    <row r="800" hidden="1" customHeight="1" spans="1:12">
      <c r="A800" s="14" t="str">
        <f t="shared" si="17"/>
        <v>0x0000024C</v>
      </c>
      <c r="B800" s="15">
        <f>SUM_HEX(C799:F799,B799,3)</f>
        <v>588</v>
      </c>
      <c r="C800" s="16" t="s">
        <v>274</v>
      </c>
      <c r="D800" s="16"/>
      <c r="E800" s="16"/>
      <c r="F800" s="16"/>
      <c r="G800" s="48"/>
      <c r="H800" s="48"/>
      <c r="I800" s="18"/>
      <c r="J800" s="18"/>
      <c r="K800" s="18"/>
      <c r="L800" s="25"/>
    </row>
    <row r="801" hidden="1" customHeight="1" spans="1:12">
      <c r="A801" s="14" t="str">
        <f t="shared" si="17"/>
        <v>0x00000250</v>
      </c>
      <c r="B801" s="15">
        <f>SUM_HEX(C800:F800,B800,3)</f>
        <v>592</v>
      </c>
      <c r="C801" s="16" t="s">
        <v>23</v>
      </c>
      <c r="D801" s="16"/>
      <c r="E801" s="16"/>
      <c r="F801" s="16"/>
      <c r="G801" s="18" t="s">
        <v>15</v>
      </c>
      <c r="H801" s="18"/>
      <c r="I801" s="24" t="s">
        <v>377</v>
      </c>
      <c r="J801" s="18"/>
      <c r="K801" s="18" t="s">
        <v>318</v>
      </c>
      <c r="L801" s="25" t="s">
        <v>374</v>
      </c>
    </row>
    <row r="802" hidden="1" customHeight="1" spans="1:12">
      <c r="A802" s="14" t="str">
        <f t="shared" si="17"/>
        <v>0x00000254</v>
      </c>
      <c r="B802" s="15">
        <f>SUM_HEX(C801:F801,B801,3)</f>
        <v>596</v>
      </c>
      <c r="C802" s="16" t="s">
        <v>23</v>
      </c>
      <c r="D802" s="16"/>
      <c r="E802" s="16"/>
      <c r="F802" s="16"/>
      <c r="G802" s="46" t="s">
        <v>157</v>
      </c>
      <c r="H802" s="46" t="s">
        <v>326</v>
      </c>
      <c r="I802" s="24" t="s">
        <v>378</v>
      </c>
      <c r="J802" s="18"/>
      <c r="K802" s="18" t="s">
        <v>332</v>
      </c>
      <c r="L802" s="25" t="s">
        <v>333</v>
      </c>
    </row>
    <row r="803" hidden="1" customHeight="1" spans="1:12">
      <c r="A803" s="14" t="str">
        <f t="shared" si="17"/>
        <v>0x00000258</v>
      </c>
      <c r="B803" s="15">
        <f>SUM_HEX(C802:F802,B802,3)</f>
        <v>600</v>
      </c>
      <c r="C803" s="16" t="s">
        <v>379</v>
      </c>
      <c r="D803" s="16"/>
      <c r="E803" s="16"/>
      <c r="F803" s="16"/>
      <c r="G803" s="47"/>
      <c r="H803" s="47"/>
      <c r="I803" s="18"/>
      <c r="J803" s="18"/>
      <c r="K803" s="18"/>
      <c r="L803" s="25"/>
    </row>
    <row r="804" hidden="1" customHeight="1" spans="1:12">
      <c r="A804" s="14" t="str">
        <f t="shared" si="17"/>
        <v>0x0000025C</v>
      </c>
      <c r="B804" s="15">
        <f>SUM_HEX(C803:F803,B803,3)</f>
        <v>604</v>
      </c>
      <c r="C804" s="16" t="s">
        <v>23</v>
      </c>
      <c r="D804" s="16" t="s">
        <v>23</v>
      </c>
      <c r="E804" s="16" t="s">
        <v>23</v>
      </c>
      <c r="F804" s="16"/>
      <c r="G804" s="47"/>
      <c r="H804" s="47"/>
      <c r="I804" s="18"/>
      <c r="J804" s="18"/>
      <c r="K804" s="18"/>
      <c r="L804" s="25"/>
    </row>
    <row r="805" hidden="1" customHeight="1" spans="1:12">
      <c r="A805" s="14" t="str">
        <f t="shared" si="17"/>
        <v>0x00000268</v>
      </c>
      <c r="B805" s="15">
        <f>SUM_HEX(C804:F804,B804,3)</f>
        <v>616</v>
      </c>
      <c r="C805" s="16" t="s">
        <v>23</v>
      </c>
      <c r="D805" s="16" t="s">
        <v>23</v>
      </c>
      <c r="E805" s="16" t="s">
        <v>23</v>
      </c>
      <c r="F805" s="16"/>
      <c r="G805" s="47"/>
      <c r="H805" s="47"/>
      <c r="I805" s="18"/>
      <c r="J805" s="18"/>
      <c r="K805" s="18"/>
      <c r="L805" s="25"/>
    </row>
    <row r="806" hidden="1" customHeight="1" spans="1:12">
      <c r="A806" s="14" t="str">
        <f t="shared" si="17"/>
        <v>0x00000274</v>
      </c>
      <c r="B806" s="15">
        <f>SUM_HEX(C805:F805,B805,3)</f>
        <v>628</v>
      </c>
      <c r="C806" s="16" t="s">
        <v>274</v>
      </c>
      <c r="D806" s="16"/>
      <c r="E806" s="16"/>
      <c r="F806" s="16"/>
      <c r="G806" s="48"/>
      <c r="H806" s="48"/>
      <c r="I806" s="18"/>
      <c r="J806" s="18"/>
      <c r="K806" s="18"/>
      <c r="L806" s="25"/>
    </row>
    <row r="807" hidden="1" customHeight="1" spans="1:12">
      <c r="A807" s="14" t="str">
        <f t="shared" si="17"/>
        <v>0x00000278</v>
      </c>
      <c r="B807" s="15">
        <f>SUM_HEX(C806:F806,B806,3)</f>
        <v>632</v>
      </c>
      <c r="C807" s="16" t="s">
        <v>23</v>
      </c>
      <c r="D807" s="16"/>
      <c r="E807" s="16"/>
      <c r="F807" s="16"/>
      <c r="G807" s="18" t="s">
        <v>15</v>
      </c>
      <c r="H807" s="18"/>
      <c r="I807" s="24" t="s">
        <v>380</v>
      </c>
      <c r="J807" s="18"/>
      <c r="K807" s="18" t="s">
        <v>318</v>
      </c>
      <c r="L807" s="25" t="s">
        <v>374</v>
      </c>
    </row>
    <row r="808" hidden="1" customHeight="1" spans="1:12">
      <c r="A808" s="14" t="str">
        <f t="shared" si="17"/>
        <v>0x0000027C</v>
      </c>
      <c r="B808" s="15">
        <f>SUM_HEX(C807:F807,B807,3)</f>
        <v>636</v>
      </c>
      <c r="C808" s="16" t="s">
        <v>23</v>
      </c>
      <c r="D808" s="16"/>
      <c r="E808" s="16"/>
      <c r="F808" s="16"/>
      <c r="G808" s="46" t="s">
        <v>157</v>
      </c>
      <c r="H808" s="46" t="s">
        <v>335</v>
      </c>
      <c r="I808" s="24" t="s">
        <v>381</v>
      </c>
      <c r="J808" s="18"/>
      <c r="K808" s="18" t="s">
        <v>337</v>
      </c>
      <c r="L808" s="25"/>
    </row>
    <row r="809" hidden="1" customHeight="1" spans="1:12">
      <c r="A809" s="14" t="str">
        <f t="shared" si="17"/>
        <v>0x00000280</v>
      </c>
      <c r="B809" s="15">
        <f>SUM_HEX(C808:F808,B808,3)</f>
        <v>640</v>
      </c>
      <c r="C809" s="16" t="s">
        <v>382</v>
      </c>
      <c r="D809" s="16"/>
      <c r="E809" s="16"/>
      <c r="F809" s="16"/>
      <c r="G809" s="47"/>
      <c r="H809" s="47"/>
      <c r="I809" s="18"/>
      <c r="J809" s="18"/>
      <c r="K809" s="18"/>
      <c r="L809" s="25"/>
    </row>
    <row r="810" hidden="1" customHeight="1" spans="1:12">
      <c r="A810" s="14" t="str">
        <f t="shared" si="17"/>
        <v>0x00000284</v>
      </c>
      <c r="B810" s="15">
        <f>SUM_HEX(C809:F809,B809,3)</f>
        <v>644</v>
      </c>
      <c r="C810" s="16" t="s">
        <v>274</v>
      </c>
      <c r="D810" s="16" t="s">
        <v>23</v>
      </c>
      <c r="E810" s="16"/>
      <c r="F810" s="16"/>
      <c r="G810" s="47"/>
      <c r="H810" s="47"/>
      <c r="I810" s="18"/>
      <c r="J810" s="18"/>
      <c r="K810" s="18"/>
      <c r="L810" s="25"/>
    </row>
    <row r="811" hidden="1" customHeight="1" spans="1:12">
      <c r="A811" s="14" t="str">
        <f t="shared" si="17"/>
        <v>0x0000028C</v>
      </c>
      <c r="B811" s="15">
        <f>SUM_HEX(C810:F810,B810,3)</f>
        <v>652</v>
      </c>
      <c r="C811" s="16" t="s">
        <v>274</v>
      </c>
      <c r="D811" s="16"/>
      <c r="E811" s="16"/>
      <c r="F811" s="16"/>
      <c r="G811" s="48"/>
      <c r="H811" s="48"/>
      <c r="I811" s="18"/>
      <c r="J811" s="18"/>
      <c r="K811" s="18"/>
      <c r="L811" s="25"/>
    </row>
    <row r="812" hidden="1" customHeight="1" spans="1:12">
      <c r="A812" s="14" t="str">
        <f t="shared" si="17"/>
        <v>0x00000290</v>
      </c>
      <c r="B812" s="15">
        <f>SUM_HEX(C811:F811,B811,3)</f>
        <v>656</v>
      </c>
      <c r="C812" s="16" t="s">
        <v>23</v>
      </c>
      <c r="D812" s="16"/>
      <c r="E812" s="16"/>
      <c r="F812" s="16"/>
      <c r="G812" s="46" t="s">
        <v>157</v>
      </c>
      <c r="H812" s="46" t="s">
        <v>335</v>
      </c>
      <c r="I812" s="24" t="s">
        <v>383</v>
      </c>
      <c r="J812" s="18"/>
      <c r="K812" s="18" t="s">
        <v>337</v>
      </c>
      <c r="L812" s="25"/>
    </row>
    <row r="813" hidden="1" customHeight="1" spans="1:12">
      <c r="A813" s="14" t="str">
        <f t="shared" si="17"/>
        <v>0x00000294</v>
      </c>
      <c r="B813" s="15">
        <f>SUM_HEX(C812:F812,B812,3)</f>
        <v>660</v>
      </c>
      <c r="C813" s="16" t="s">
        <v>384</v>
      </c>
      <c r="D813" s="16"/>
      <c r="E813" s="16"/>
      <c r="F813" s="16"/>
      <c r="G813" s="47"/>
      <c r="H813" s="47"/>
      <c r="I813" s="18"/>
      <c r="J813" s="18"/>
      <c r="K813" s="18"/>
      <c r="L813" s="25"/>
    </row>
    <row r="814" hidden="1" customHeight="1" spans="1:12">
      <c r="A814" s="14" t="str">
        <f t="shared" si="17"/>
        <v>0x00000298</v>
      </c>
      <c r="B814" s="15">
        <f>SUM_HEX(C813:F813,B813,3)</f>
        <v>664</v>
      </c>
      <c r="C814" s="16" t="s">
        <v>274</v>
      </c>
      <c r="D814" s="16" t="s">
        <v>23</v>
      </c>
      <c r="E814" s="16"/>
      <c r="F814" s="16"/>
      <c r="G814" s="47"/>
      <c r="H814" s="47"/>
      <c r="I814" s="18"/>
      <c r="J814" s="18"/>
      <c r="K814" s="18"/>
      <c r="L814" s="25"/>
    </row>
    <row r="815" hidden="1" customHeight="1" spans="1:12">
      <c r="A815" s="14" t="str">
        <f t="shared" si="17"/>
        <v>0x000002A0</v>
      </c>
      <c r="B815" s="15">
        <f>SUM_HEX(C814:F814,B814,3)</f>
        <v>672</v>
      </c>
      <c r="C815" s="16" t="s">
        <v>274</v>
      </c>
      <c r="D815" s="16"/>
      <c r="E815" s="16"/>
      <c r="F815" s="16"/>
      <c r="G815" s="48"/>
      <c r="H815" s="48"/>
      <c r="I815" s="18"/>
      <c r="J815" s="18"/>
      <c r="K815" s="18"/>
      <c r="L815" s="25"/>
    </row>
    <row r="816" hidden="1" customHeight="1" spans="1:12">
      <c r="A816" s="14" t="str">
        <f t="shared" si="17"/>
        <v>0x000002A4</v>
      </c>
      <c r="B816" s="15">
        <f>SUM_HEX(C815:F815,B815,3)</f>
        <v>676</v>
      </c>
      <c r="C816" s="16" t="s">
        <v>23</v>
      </c>
      <c r="D816" s="16"/>
      <c r="E816" s="16"/>
      <c r="F816" s="16"/>
      <c r="G816" s="46" t="s">
        <v>157</v>
      </c>
      <c r="H816" s="46" t="s">
        <v>335</v>
      </c>
      <c r="I816" s="24" t="s">
        <v>385</v>
      </c>
      <c r="J816" s="18"/>
      <c r="K816" s="18" t="s">
        <v>337</v>
      </c>
      <c r="L816" s="25"/>
    </row>
    <row r="817" hidden="1" customHeight="1" spans="1:12">
      <c r="A817" s="14" t="str">
        <f t="shared" si="17"/>
        <v>0x000002A8</v>
      </c>
      <c r="B817" s="15">
        <f>SUM_HEX(C816:F816,B816,3)</f>
        <v>680</v>
      </c>
      <c r="C817" s="16" t="s">
        <v>386</v>
      </c>
      <c r="D817" s="16"/>
      <c r="E817" s="16"/>
      <c r="F817" s="16"/>
      <c r="G817" s="47"/>
      <c r="H817" s="47"/>
      <c r="I817" s="18"/>
      <c r="J817" s="18"/>
      <c r="K817" s="18"/>
      <c r="L817" s="25"/>
    </row>
    <row r="818" hidden="1" customHeight="1" spans="1:12">
      <c r="A818" s="14" t="str">
        <f t="shared" si="17"/>
        <v>0x000002AC</v>
      </c>
      <c r="B818" s="15">
        <f>SUM_HEX(C817:F817,B817,3)</f>
        <v>684</v>
      </c>
      <c r="C818" s="16" t="s">
        <v>274</v>
      </c>
      <c r="D818" s="16" t="s">
        <v>23</v>
      </c>
      <c r="E818" s="16"/>
      <c r="F818" s="16"/>
      <c r="G818" s="47"/>
      <c r="H818" s="47"/>
      <c r="I818" s="18"/>
      <c r="J818" s="18"/>
      <c r="K818" s="18"/>
      <c r="L818" s="25"/>
    </row>
    <row r="819" hidden="1" customHeight="1" spans="1:12">
      <c r="A819" s="14" t="str">
        <f t="shared" si="17"/>
        <v>0x000002B4</v>
      </c>
      <c r="B819" s="15">
        <f>SUM_HEX(C818:F818,B818,3)</f>
        <v>692</v>
      </c>
      <c r="C819" s="16" t="s">
        <v>274</v>
      </c>
      <c r="D819" s="16"/>
      <c r="E819" s="16"/>
      <c r="F819" s="16"/>
      <c r="G819" s="48"/>
      <c r="H819" s="48"/>
      <c r="I819" s="18"/>
      <c r="J819" s="18"/>
      <c r="K819" s="18"/>
      <c r="L819" s="25"/>
    </row>
    <row r="820" hidden="1" customHeight="1" spans="1:12">
      <c r="A820" s="14" t="str">
        <f t="shared" si="17"/>
        <v>0x000002B8</v>
      </c>
      <c r="B820" s="15">
        <f>SUM_HEX(C819:F819,B819,3)</f>
        <v>696</v>
      </c>
      <c r="C820" s="16" t="s">
        <v>23</v>
      </c>
      <c r="D820" s="16"/>
      <c r="E820" s="16"/>
      <c r="F820" s="16"/>
      <c r="G820" s="18" t="s">
        <v>15</v>
      </c>
      <c r="H820" s="18"/>
      <c r="I820" s="24" t="s">
        <v>387</v>
      </c>
      <c r="J820" s="18"/>
      <c r="K820" s="18" t="s">
        <v>318</v>
      </c>
      <c r="L820" s="25" t="s">
        <v>374</v>
      </c>
    </row>
    <row r="821" hidden="1" customHeight="1" spans="1:12">
      <c r="A821" s="14" t="str">
        <f t="shared" ref="A821:A884" si="18">"0x"&amp;DEC2HEX(B821,8)</f>
        <v>0x000002BC</v>
      </c>
      <c r="B821" s="15">
        <f>SUM_HEX(C820:F820,B820,3)</f>
        <v>700</v>
      </c>
      <c r="C821" s="16" t="s">
        <v>23</v>
      </c>
      <c r="D821" s="16"/>
      <c r="E821" s="16"/>
      <c r="F821" s="16"/>
      <c r="G821" s="46" t="s">
        <v>157</v>
      </c>
      <c r="H821" s="46" t="s">
        <v>388</v>
      </c>
      <c r="I821" s="18" t="s">
        <v>389</v>
      </c>
      <c r="J821" s="18"/>
      <c r="K821" s="18"/>
      <c r="L821" s="25"/>
    </row>
    <row r="822" hidden="1" customHeight="1" spans="1:12">
      <c r="A822" s="14" t="str">
        <f t="shared" si="18"/>
        <v>0x000002C0</v>
      </c>
      <c r="B822" s="15">
        <f>SUM_HEX(C821:F821,B821,3)</f>
        <v>704</v>
      </c>
      <c r="C822" s="16" t="s">
        <v>390</v>
      </c>
      <c r="D822" s="16"/>
      <c r="E822" s="16"/>
      <c r="F822" s="16"/>
      <c r="G822" s="47"/>
      <c r="H822" s="47"/>
      <c r="I822" s="18"/>
      <c r="J822" s="18"/>
      <c r="K822" s="18"/>
      <c r="L822" s="25"/>
    </row>
    <row r="823" hidden="1" customHeight="1" spans="1:12">
      <c r="A823" s="14" t="str">
        <f t="shared" si="18"/>
        <v>0x000002C4</v>
      </c>
      <c r="B823" s="15">
        <f>SUM_HEX(C822:F822,B822,3)</f>
        <v>708</v>
      </c>
      <c r="C823" s="16" t="s">
        <v>391</v>
      </c>
      <c r="D823" s="16" t="s">
        <v>391</v>
      </c>
      <c r="E823" s="16"/>
      <c r="F823" s="16"/>
      <c r="G823" s="47"/>
      <c r="H823" s="47"/>
      <c r="I823" s="18"/>
      <c r="J823" s="18"/>
      <c r="K823" s="18"/>
      <c r="L823" s="25"/>
    </row>
    <row r="824" hidden="1" customHeight="1" spans="1:12">
      <c r="A824" s="14" t="str">
        <f t="shared" si="18"/>
        <v>0x000002C8</v>
      </c>
      <c r="B824" s="15">
        <f>SUM_HEX(C823:F823,B823,3)</f>
        <v>712</v>
      </c>
      <c r="C824" s="16" t="s">
        <v>274</v>
      </c>
      <c r="D824" s="16"/>
      <c r="E824" s="16"/>
      <c r="F824" s="16"/>
      <c r="G824" s="48"/>
      <c r="H824" s="48"/>
      <c r="I824" s="18"/>
      <c r="J824" s="18"/>
      <c r="K824" s="18"/>
      <c r="L824" s="25"/>
    </row>
    <row r="825" hidden="1" customHeight="1" spans="1:12">
      <c r="A825" s="14" t="str">
        <f t="shared" si="18"/>
        <v>0x000002CC</v>
      </c>
      <c r="B825" s="15">
        <f>SUM_HEX(C824:F824,B824,3)</f>
        <v>716</v>
      </c>
      <c r="C825" s="16" t="s">
        <v>392</v>
      </c>
      <c r="D825" s="16"/>
      <c r="E825" s="16"/>
      <c r="F825" s="16"/>
      <c r="G825" s="18" t="s">
        <v>393</v>
      </c>
      <c r="H825" s="18"/>
      <c r="I825" s="24" t="s">
        <v>394</v>
      </c>
      <c r="J825" s="18"/>
      <c r="K825" s="18"/>
      <c r="L825" s="25"/>
    </row>
    <row r="826" hidden="1" customHeight="1" spans="1:12">
      <c r="A826" s="14" t="str">
        <f t="shared" si="18"/>
        <v>0x000002CD</v>
      </c>
      <c r="B826" s="15">
        <f>SUM_HEX(C825:F825,B825,3)</f>
        <v>717</v>
      </c>
      <c r="C826" s="16" t="s">
        <v>392</v>
      </c>
      <c r="D826" s="16"/>
      <c r="E826" s="16"/>
      <c r="F826" s="16"/>
      <c r="G826" s="18" t="s">
        <v>393</v>
      </c>
      <c r="H826" s="18"/>
      <c r="I826" s="24" t="s">
        <v>395</v>
      </c>
      <c r="J826" s="18"/>
      <c r="K826" s="18"/>
      <c r="L826" s="25"/>
    </row>
    <row r="827" hidden="1" customHeight="1" spans="1:12">
      <c r="A827" s="14" t="str">
        <f t="shared" si="18"/>
        <v>0x000002CE</v>
      </c>
      <c r="B827" s="15">
        <f>SUM_HEX(C826:F826,B826,3)</f>
        <v>718</v>
      </c>
      <c r="C827" s="16" t="s">
        <v>392</v>
      </c>
      <c r="D827" s="16"/>
      <c r="E827" s="16"/>
      <c r="F827" s="16"/>
      <c r="G827" s="18" t="s">
        <v>393</v>
      </c>
      <c r="H827" s="18"/>
      <c r="I827" s="24" t="s">
        <v>396</v>
      </c>
      <c r="J827" s="18"/>
      <c r="K827" s="18"/>
      <c r="L827" s="25"/>
    </row>
    <row r="828" hidden="1" customHeight="1" spans="1:12">
      <c r="A828" s="14" t="str">
        <f t="shared" si="18"/>
        <v>0x000002CF</v>
      </c>
      <c r="B828" s="15">
        <f>SUM_HEX(C827:F827,B827,3)</f>
        <v>719</v>
      </c>
      <c r="C828" s="16" t="s">
        <v>392</v>
      </c>
      <c r="D828" s="16"/>
      <c r="E828" s="16"/>
      <c r="F828" s="16"/>
      <c r="G828" s="17"/>
      <c r="H828" s="17"/>
      <c r="I828" s="22"/>
      <c r="J828" s="17"/>
      <c r="K828" s="17"/>
      <c r="L828" s="23"/>
    </row>
    <row r="829" hidden="1" customHeight="1" spans="1:12">
      <c r="A829" s="14" t="str">
        <f t="shared" si="18"/>
        <v>0x000002D0</v>
      </c>
      <c r="B829" s="15">
        <f>SUM_HEX(C828:F828,B828,3)</f>
        <v>720</v>
      </c>
      <c r="C829" s="16" t="s">
        <v>316</v>
      </c>
      <c r="D829" s="16"/>
      <c r="E829" s="16"/>
      <c r="F829" s="16"/>
      <c r="G829" s="18" t="s">
        <v>212</v>
      </c>
      <c r="H829" s="18"/>
      <c r="I829" s="24" t="s">
        <v>397</v>
      </c>
      <c r="J829" s="18"/>
      <c r="K829" s="18"/>
      <c r="L829" s="25"/>
    </row>
    <row r="830" hidden="1" customHeight="1" spans="1:12">
      <c r="A830" s="14" t="str">
        <f t="shared" si="18"/>
        <v>0x000002D4</v>
      </c>
      <c r="B830" s="15">
        <f>SUM_HEX(C829:F829,B829,3)</f>
        <v>724</v>
      </c>
      <c r="C830" s="16" t="s">
        <v>391</v>
      </c>
      <c r="D830" s="16"/>
      <c r="E830" s="16"/>
      <c r="F830" s="16"/>
      <c r="G830" s="18" t="s">
        <v>398</v>
      </c>
      <c r="H830" s="18"/>
      <c r="I830" s="24" t="s">
        <v>399</v>
      </c>
      <c r="J830" s="18"/>
      <c r="K830" s="18"/>
      <c r="L830" s="25"/>
    </row>
    <row r="831" hidden="1" customHeight="1" spans="1:12">
      <c r="A831" s="14" t="str">
        <f t="shared" si="18"/>
        <v>0x000002D6</v>
      </c>
      <c r="B831" s="15">
        <f>SUM_HEX(C830:F830,B830,3)</f>
        <v>726</v>
      </c>
      <c r="C831" s="16" t="s">
        <v>391</v>
      </c>
      <c r="D831" s="16"/>
      <c r="E831" s="16"/>
      <c r="F831" s="16"/>
      <c r="G831" s="18" t="s">
        <v>398</v>
      </c>
      <c r="H831" s="18"/>
      <c r="I831" s="24" t="s">
        <v>400</v>
      </c>
      <c r="J831" s="18"/>
      <c r="K831" s="18"/>
      <c r="L831" s="25"/>
    </row>
    <row r="832" hidden="1" customHeight="1" spans="1:12">
      <c r="A832" s="14" t="str">
        <f t="shared" si="18"/>
        <v>0x000002D8</v>
      </c>
      <c r="B832" s="15">
        <f>SUM_HEX(C831:F831,B831,3)</f>
        <v>728</v>
      </c>
      <c r="C832" s="16" t="s">
        <v>401</v>
      </c>
      <c r="D832" s="16"/>
      <c r="E832" s="16"/>
      <c r="F832" s="16"/>
      <c r="G832" s="17"/>
      <c r="H832" s="17"/>
      <c r="I832" s="22"/>
      <c r="J832" s="17"/>
      <c r="K832" s="17"/>
      <c r="L832" s="23"/>
    </row>
    <row r="833" hidden="1" customHeight="1" spans="1:12">
      <c r="A833" s="14" t="str">
        <f t="shared" si="18"/>
        <v>0x000002DC</v>
      </c>
      <c r="B833" s="15">
        <f>SUM_HEX(C832:F832,B832,3)</f>
        <v>732</v>
      </c>
      <c r="C833" s="16" t="s">
        <v>401</v>
      </c>
      <c r="D833" s="16"/>
      <c r="E833" s="16"/>
      <c r="F833" s="16"/>
      <c r="G833" s="17"/>
      <c r="H833" s="17"/>
      <c r="I833" s="22"/>
      <c r="J833" s="17"/>
      <c r="K833" s="17"/>
      <c r="L833" s="23"/>
    </row>
    <row r="834" hidden="1" customHeight="1" spans="1:12">
      <c r="A834" s="14" t="str">
        <f t="shared" si="18"/>
        <v>0x000002E0</v>
      </c>
      <c r="B834" s="15">
        <f>SUM_HEX(C833:F833,B833,3)</f>
        <v>736</v>
      </c>
      <c r="C834" s="16" t="s">
        <v>23</v>
      </c>
      <c r="D834" s="16"/>
      <c r="E834" s="16"/>
      <c r="F834" s="16"/>
      <c r="G834" s="18" t="s">
        <v>212</v>
      </c>
      <c r="H834" s="18"/>
      <c r="I834" s="24" t="s">
        <v>402</v>
      </c>
      <c r="J834" s="18"/>
      <c r="K834" s="18"/>
      <c r="L834" s="25" t="s">
        <v>272</v>
      </c>
    </row>
    <row r="835" hidden="1" customHeight="1" spans="1:12">
      <c r="A835" s="14" t="str">
        <f t="shared" si="18"/>
        <v>0x000002E4</v>
      </c>
      <c r="B835" s="15">
        <f>SUM_HEX(C834:F834,B834,3)</f>
        <v>740</v>
      </c>
      <c r="C835" s="16" t="s">
        <v>148</v>
      </c>
      <c r="D835" s="16"/>
      <c r="E835" s="16"/>
      <c r="F835" s="16"/>
      <c r="G835" s="18" t="s">
        <v>212</v>
      </c>
      <c r="H835" s="18"/>
      <c r="I835" s="24" t="s">
        <v>403</v>
      </c>
      <c r="J835" s="18"/>
      <c r="K835" s="18"/>
      <c r="L835" s="25" t="s">
        <v>272</v>
      </c>
    </row>
    <row r="836" hidden="1" customHeight="1" spans="1:12">
      <c r="A836" s="14" t="str">
        <f t="shared" si="18"/>
        <v>0x000002E8</v>
      </c>
      <c r="B836" s="15">
        <f>SUM_HEX(C835:F835,B835,3)</f>
        <v>744</v>
      </c>
      <c r="C836" s="16" t="s">
        <v>274</v>
      </c>
      <c r="D836" s="16"/>
      <c r="E836" s="16"/>
      <c r="F836" s="16"/>
      <c r="G836" s="18" t="s">
        <v>15</v>
      </c>
      <c r="H836" s="18"/>
      <c r="I836" s="24" t="s">
        <v>404</v>
      </c>
      <c r="J836" s="18"/>
      <c r="K836" s="18" t="s">
        <v>405</v>
      </c>
      <c r="L836" s="25" t="s">
        <v>280</v>
      </c>
    </row>
    <row r="837" hidden="1" customHeight="1" spans="1:12">
      <c r="A837" s="14" t="str">
        <f t="shared" si="18"/>
        <v>0x000002EC</v>
      </c>
      <c r="B837" s="15">
        <f>SUM_HEX(C836:F836,B836,3)</f>
        <v>748</v>
      </c>
      <c r="C837" s="16" t="s">
        <v>23</v>
      </c>
      <c r="D837" s="16"/>
      <c r="E837" s="16"/>
      <c r="F837" s="16"/>
      <c r="G837" s="18" t="s">
        <v>212</v>
      </c>
      <c r="H837" s="18"/>
      <c r="I837" s="24" t="s">
        <v>406</v>
      </c>
      <c r="J837" s="18"/>
      <c r="K837" s="18"/>
      <c r="L837" s="25"/>
    </row>
    <row r="838" hidden="1" customHeight="1" spans="1:12">
      <c r="A838" s="14" t="str">
        <f t="shared" si="18"/>
        <v>0x000002F0</v>
      </c>
      <c r="B838" s="15">
        <f>SUM_HEX(C837:F837,B837,3)</f>
        <v>752</v>
      </c>
      <c r="C838" s="16" t="s">
        <v>23</v>
      </c>
      <c r="D838" s="16"/>
      <c r="E838" s="16"/>
      <c r="F838" s="16"/>
      <c r="G838" s="18" t="s">
        <v>212</v>
      </c>
      <c r="H838" s="18"/>
      <c r="I838" s="24" t="s">
        <v>407</v>
      </c>
      <c r="J838" s="18"/>
      <c r="K838" s="18"/>
      <c r="L838" s="25"/>
    </row>
    <row r="839" hidden="1" customHeight="1" spans="1:12">
      <c r="A839" s="14" t="str">
        <f t="shared" si="18"/>
        <v>0x000002F4</v>
      </c>
      <c r="B839" s="15">
        <f>SUM_HEX(C838:F838,B838,3)</f>
        <v>756</v>
      </c>
      <c r="C839" s="16" t="s">
        <v>23</v>
      </c>
      <c r="D839" s="16"/>
      <c r="E839" s="16"/>
      <c r="F839" s="16"/>
      <c r="G839" s="18" t="s">
        <v>212</v>
      </c>
      <c r="H839" s="18"/>
      <c r="I839" s="24" t="s">
        <v>408</v>
      </c>
      <c r="J839" s="18"/>
      <c r="K839" s="18"/>
      <c r="L839" s="25" t="s">
        <v>272</v>
      </c>
    </row>
    <row r="840" hidden="1" customHeight="1" spans="1:12">
      <c r="A840" s="14" t="str">
        <f t="shared" si="18"/>
        <v>0x000002F8</v>
      </c>
      <c r="B840" s="15">
        <f>SUM_HEX(C839:F839,B839,3)</f>
        <v>760</v>
      </c>
      <c r="C840" s="16" t="s">
        <v>23</v>
      </c>
      <c r="D840" s="16"/>
      <c r="E840" s="16"/>
      <c r="F840" s="16"/>
      <c r="G840" s="18" t="s">
        <v>212</v>
      </c>
      <c r="H840" s="18"/>
      <c r="I840" s="24" t="s">
        <v>409</v>
      </c>
      <c r="J840" s="18"/>
      <c r="K840" s="18"/>
      <c r="L840" s="25" t="s">
        <v>272</v>
      </c>
    </row>
    <row r="841" hidden="1" customHeight="1" spans="1:12">
      <c r="A841" s="14" t="str">
        <f t="shared" si="18"/>
        <v>0x000002FC</v>
      </c>
      <c r="B841" s="15">
        <f>SUM_HEX(C840:F840,B840,3)</f>
        <v>764</v>
      </c>
      <c r="C841" s="16" t="s">
        <v>23</v>
      </c>
      <c r="D841" s="16"/>
      <c r="E841" s="16"/>
      <c r="F841" s="16"/>
      <c r="G841" s="18" t="s">
        <v>212</v>
      </c>
      <c r="H841" s="18"/>
      <c r="I841" s="24" t="s">
        <v>410</v>
      </c>
      <c r="J841" s="18"/>
      <c r="K841" s="18"/>
      <c r="L841" s="25"/>
    </row>
    <row r="842" hidden="1" customHeight="1" spans="1:12">
      <c r="A842" s="14" t="str">
        <f t="shared" si="18"/>
        <v>0x00000300</v>
      </c>
      <c r="B842" s="15">
        <f>SUM_HEX(C841:F841,B841,3)</f>
        <v>768</v>
      </c>
      <c r="C842" s="16" t="s">
        <v>23</v>
      </c>
      <c r="D842" s="16"/>
      <c r="E842" s="16"/>
      <c r="F842" s="16"/>
      <c r="G842" s="18" t="s">
        <v>15</v>
      </c>
      <c r="H842" s="18"/>
      <c r="I842" s="24" t="s">
        <v>411</v>
      </c>
      <c r="J842" s="18"/>
      <c r="K842" s="18" t="s">
        <v>328</v>
      </c>
      <c r="L842" s="25"/>
    </row>
    <row r="843" hidden="1" customHeight="1" spans="1:12">
      <c r="A843" s="14" t="str">
        <f t="shared" si="18"/>
        <v>0x00000304</v>
      </c>
      <c r="B843" s="15">
        <f>SUM_HEX(C842:F842,B842,3)</f>
        <v>772</v>
      </c>
      <c r="C843" s="16" t="s">
        <v>148</v>
      </c>
      <c r="D843" s="16"/>
      <c r="E843" s="16"/>
      <c r="F843" s="16"/>
      <c r="G843" s="18" t="s">
        <v>212</v>
      </c>
      <c r="H843" s="18"/>
      <c r="I843" s="24" t="s">
        <v>412</v>
      </c>
      <c r="J843" s="18"/>
      <c r="K843" s="18"/>
      <c r="L843" s="25"/>
    </row>
    <row r="844" hidden="1" customHeight="1" spans="1:12">
      <c r="A844" s="14" t="str">
        <f t="shared" si="18"/>
        <v>0x00000308</v>
      </c>
      <c r="B844" s="15">
        <f>SUM_HEX(C843:F843,B843,3)</f>
        <v>776</v>
      </c>
      <c r="C844" s="16" t="s">
        <v>23</v>
      </c>
      <c r="D844" s="16" t="s">
        <v>23</v>
      </c>
      <c r="E844" s="16" t="s">
        <v>148</v>
      </c>
      <c r="F844" s="16"/>
      <c r="G844" s="18" t="s">
        <v>326</v>
      </c>
      <c r="H844" s="18"/>
      <c r="I844" s="24" t="s">
        <v>413</v>
      </c>
      <c r="J844" s="18"/>
      <c r="K844" s="18"/>
      <c r="L844" s="25"/>
    </row>
    <row r="845" hidden="1" customHeight="1" spans="1:12">
      <c r="A845" s="14" t="str">
        <f t="shared" si="18"/>
        <v>0x00000314</v>
      </c>
      <c r="B845" s="15">
        <f>SUM_HEX(C844:F844,B844,3)</f>
        <v>788</v>
      </c>
      <c r="C845" s="16" t="s">
        <v>148</v>
      </c>
      <c r="D845" s="16"/>
      <c r="E845" s="16"/>
      <c r="F845" s="16"/>
      <c r="G845" s="18" t="s">
        <v>212</v>
      </c>
      <c r="H845" s="18"/>
      <c r="I845" s="24" t="s">
        <v>414</v>
      </c>
      <c r="J845" s="18"/>
      <c r="K845" s="18"/>
      <c r="L845" s="25"/>
    </row>
    <row r="846" hidden="1" customHeight="1" spans="1:12">
      <c r="A846" s="14" t="str">
        <f t="shared" si="18"/>
        <v>0x00000318</v>
      </c>
      <c r="B846" s="15">
        <f>SUM_HEX(C845:F845,B845,3)</f>
        <v>792</v>
      </c>
      <c r="C846" s="16" t="s">
        <v>23</v>
      </c>
      <c r="D846" s="16"/>
      <c r="E846" s="16"/>
      <c r="F846" s="16"/>
      <c r="G846" s="18" t="s">
        <v>15</v>
      </c>
      <c r="H846" s="18"/>
      <c r="I846" s="24" t="s">
        <v>415</v>
      </c>
      <c r="J846" s="18"/>
      <c r="K846" s="18" t="s">
        <v>416</v>
      </c>
      <c r="L846" s="25"/>
    </row>
    <row r="847" hidden="1" customHeight="1" spans="1:12">
      <c r="A847" s="14" t="str">
        <f t="shared" si="18"/>
        <v>0x0000031C</v>
      </c>
      <c r="B847" s="15">
        <f>SUM_HEX(C846:F846,B846,3)</f>
        <v>796</v>
      </c>
      <c r="C847" s="16" t="s">
        <v>23</v>
      </c>
      <c r="D847" s="16"/>
      <c r="E847" s="16"/>
      <c r="F847" s="16"/>
      <c r="G847" s="46" t="s">
        <v>157</v>
      </c>
      <c r="H847" s="46" t="s">
        <v>212</v>
      </c>
      <c r="I847" s="18" t="s">
        <v>417</v>
      </c>
      <c r="J847" s="18"/>
      <c r="K847" s="18"/>
      <c r="L847" s="25"/>
    </row>
    <row r="848" hidden="1" customHeight="1" spans="1:12">
      <c r="A848" s="14" t="str">
        <f t="shared" si="18"/>
        <v>0x00000320</v>
      </c>
      <c r="B848" s="15">
        <f>SUM_HEX(C847:F847,B847,3)</f>
        <v>800</v>
      </c>
      <c r="C848" s="16" t="s">
        <v>418</v>
      </c>
      <c r="D848" s="16"/>
      <c r="E848" s="16"/>
      <c r="F848" s="16"/>
      <c r="G848" s="47"/>
      <c r="H848" s="47"/>
      <c r="I848" s="18"/>
      <c r="J848" s="18"/>
      <c r="K848" s="18"/>
      <c r="L848" s="25"/>
    </row>
    <row r="849" hidden="1" customHeight="1" spans="1:12">
      <c r="A849" s="14" t="str">
        <f t="shared" si="18"/>
        <v>0x00000324</v>
      </c>
      <c r="B849" s="15">
        <f>SUM_HEX(C848:F848,B848,3)</f>
        <v>804</v>
      </c>
      <c r="C849" s="16" t="s">
        <v>23</v>
      </c>
      <c r="D849" s="16" t="s">
        <v>23</v>
      </c>
      <c r="E849" s="16"/>
      <c r="F849" s="16"/>
      <c r="G849" s="47"/>
      <c r="H849" s="47"/>
      <c r="I849" s="18"/>
      <c r="J849" s="18"/>
      <c r="K849" s="18"/>
      <c r="L849" s="25"/>
    </row>
    <row r="850" hidden="1" customHeight="1" spans="1:12">
      <c r="A850" s="14" t="str">
        <f t="shared" si="18"/>
        <v>0x0000032C</v>
      </c>
      <c r="B850" s="15">
        <f>SUM_HEX(C849:F849,B849,3)</f>
        <v>812</v>
      </c>
      <c r="C850" s="16" t="s">
        <v>274</v>
      </c>
      <c r="D850" s="16"/>
      <c r="E850" s="16"/>
      <c r="F850" s="16"/>
      <c r="G850" s="48"/>
      <c r="H850" s="48"/>
      <c r="I850" s="18"/>
      <c r="J850" s="18"/>
      <c r="K850" s="18"/>
      <c r="L850" s="25"/>
    </row>
    <row r="851" hidden="1" customHeight="1" spans="1:12">
      <c r="A851" s="14" t="str">
        <f t="shared" si="18"/>
        <v>0x00000330</v>
      </c>
      <c r="B851" s="15">
        <f>SUM_HEX(C850:F850,B850,3)</f>
        <v>816</v>
      </c>
      <c r="C851" s="16" t="s">
        <v>23</v>
      </c>
      <c r="D851" s="16"/>
      <c r="E851" s="16"/>
      <c r="F851" s="16"/>
      <c r="G851" s="46" t="s">
        <v>157</v>
      </c>
      <c r="H851" s="46" t="s">
        <v>212</v>
      </c>
      <c r="I851" s="18" t="s">
        <v>419</v>
      </c>
      <c r="J851" s="18"/>
      <c r="K851" s="18"/>
      <c r="L851" s="25"/>
    </row>
    <row r="852" hidden="1" customHeight="1" spans="1:12">
      <c r="A852" s="14" t="str">
        <f t="shared" si="18"/>
        <v>0x00000334</v>
      </c>
      <c r="B852" s="15">
        <f>SUM_HEX(C851:F851,B851,3)</f>
        <v>820</v>
      </c>
      <c r="C852" s="16" t="s">
        <v>420</v>
      </c>
      <c r="D852" s="16"/>
      <c r="E852" s="16"/>
      <c r="F852" s="16"/>
      <c r="G852" s="47"/>
      <c r="H852" s="47"/>
      <c r="I852" s="18"/>
      <c r="J852" s="18"/>
      <c r="K852" s="18"/>
      <c r="L852" s="25"/>
    </row>
    <row r="853" hidden="1" customHeight="1" spans="1:12">
      <c r="A853" s="14" t="str">
        <f t="shared" si="18"/>
        <v>0x00000338</v>
      </c>
      <c r="B853" s="15">
        <f>SUM_HEX(C852:F852,B852,3)</f>
        <v>824</v>
      </c>
      <c r="C853" s="16" t="s">
        <v>23</v>
      </c>
      <c r="D853" s="16" t="s">
        <v>23</v>
      </c>
      <c r="E853" s="16"/>
      <c r="F853" s="16"/>
      <c r="G853" s="47"/>
      <c r="H853" s="47"/>
      <c r="I853" s="18"/>
      <c r="J853" s="18"/>
      <c r="K853" s="18"/>
      <c r="L853" s="25"/>
    </row>
    <row r="854" hidden="1" customHeight="1" spans="1:12">
      <c r="A854" s="14" t="str">
        <f t="shared" si="18"/>
        <v>0x00000340</v>
      </c>
      <c r="B854" s="15">
        <f>SUM_HEX(C853:F853,B853,3)</f>
        <v>832</v>
      </c>
      <c r="C854" s="16" t="s">
        <v>274</v>
      </c>
      <c r="D854" s="16"/>
      <c r="E854" s="16"/>
      <c r="F854" s="16"/>
      <c r="G854" s="48"/>
      <c r="H854" s="48"/>
      <c r="I854" s="18"/>
      <c r="J854" s="18"/>
      <c r="K854" s="18"/>
      <c r="L854" s="25"/>
    </row>
    <row r="855" hidden="1" customHeight="1" spans="1:12">
      <c r="A855" s="14" t="str">
        <f t="shared" si="18"/>
        <v>0x00000344</v>
      </c>
      <c r="B855" s="15">
        <f>SUM_HEX(C854:F854,B854,3)</f>
        <v>836</v>
      </c>
      <c r="C855" s="16" t="s">
        <v>23</v>
      </c>
      <c r="D855" s="16"/>
      <c r="E855" s="16"/>
      <c r="F855" s="16"/>
      <c r="G855" s="18" t="s">
        <v>15</v>
      </c>
      <c r="H855" s="18"/>
      <c r="I855" s="24" t="s">
        <v>421</v>
      </c>
      <c r="J855" s="18"/>
      <c r="K855" s="18" t="s">
        <v>416</v>
      </c>
      <c r="L855" s="25"/>
    </row>
    <row r="856" hidden="1" customHeight="1" spans="1:12">
      <c r="A856" s="14" t="str">
        <f t="shared" si="18"/>
        <v>0x00000348</v>
      </c>
      <c r="B856" s="15">
        <f>SUM_HEX(C855:F855,B855,3)</f>
        <v>840</v>
      </c>
      <c r="C856" s="16" t="s">
        <v>23</v>
      </c>
      <c r="D856" s="16"/>
      <c r="E856" s="16"/>
      <c r="F856" s="16"/>
      <c r="G856" s="46" t="s">
        <v>157</v>
      </c>
      <c r="H856" s="46" t="s">
        <v>212</v>
      </c>
      <c r="I856" s="18" t="s">
        <v>422</v>
      </c>
      <c r="J856" s="18"/>
      <c r="K856" s="18"/>
      <c r="L856" s="25"/>
    </row>
    <row r="857" hidden="1" customHeight="1" spans="1:12">
      <c r="A857" s="14" t="str">
        <f t="shared" si="18"/>
        <v>0x0000034C</v>
      </c>
      <c r="B857" s="15">
        <f>SUM_HEX(C856:F856,B856,3)</f>
        <v>844</v>
      </c>
      <c r="C857" s="16" t="s">
        <v>423</v>
      </c>
      <c r="D857" s="16"/>
      <c r="E857" s="16"/>
      <c r="F857" s="16"/>
      <c r="G857" s="47"/>
      <c r="H857" s="47"/>
      <c r="I857" s="18"/>
      <c r="J857" s="18"/>
      <c r="K857" s="18"/>
      <c r="L857" s="25"/>
    </row>
    <row r="858" hidden="1" customHeight="1" spans="1:12">
      <c r="A858" s="14" t="str">
        <f t="shared" si="18"/>
        <v>0x00000350</v>
      </c>
      <c r="B858" s="15">
        <f>SUM_HEX(C857:F857,B857,3)</f>
        <v>848</v>
      </c>
      <c r="C858" s="16" t="s">
        <v>23</v>
      </c>
      <c r="D858" s="16" t="s">
        <v>23</v>
      </c>
      <c r="E858" s="16"/>
      <c r="F858" s="16"/>
      <c r="G858" s="47"/>
      <c r="H858" s="47"/>
      <c r="I858" s="18"/>
      <c r="J858" s="18"/>
      <c r="K858" s="18"/>
      <c r="L858" s="25"/>
    </row>
    <row r="859" hidden="1" customHeight="1" spans="1:12">
      <c r="A859" s="14" t="str">
        <f t="shared" si="18"/>
        <v>0x00000358</v>
      </c>
      <c r="B859" s="15">
        <f>SUM_HEX(C858:F858,B858,3)</f>
        <v>856</v>
      </c>
      <c r="C859" s="16" t="s">
        <v>274</v>
      </c>
      <c r="D859" s="16"/>
      <c r="E859" s="16"/>
      <c r="F859" s="16"/>
      <c r="G859" s="48"/>
      <c r="H859" s="48"/>
      <c r="I859" s="18"/>
      <c r="J859" s="18"/>
      <c r="K859" s="18"/>
      <c r="L859" s="25"/>
    </row>
    <row r="860" hidden="1" customHeight="1" spans="1:12">
      <c r="A860" s="14" t="str">
        <f t="shared" si="18"/>
        <v>0x0000035C</v>
      </c>
      <c r="B860" s="15">
        <f>SUM_HEX(C859:F859,B859,3)</f>
        <v>860</v>
      </c>
      <c r="C860" s="16" t="s">
        <v>23</v>
      </c>
      <c r="D860" s="16"/>
      <c r="E860" s="16"/>
      <c r="F860" s="16"/>
      <c r="G860" s="46" t="s">
        <v>157</v>
      </c>
      <c r="H860" s="46" t="s">
        <v>212</v>
      </c>
      <c r="I860" s="18" t="s">
        <v>424</v>
      </c>
      <c r="J860" s="18"/>
      <c r="K860" s="18"/>
      <c r="L860" s="25"/>
    </row>
    <row r="861" hidden="1" customHeight="1" spans="1:12">
      <c r="A861" s="14" t="str">
        <f t="shared" si="18"/>
        <v>0x00000360</v>
      </c>
      <c r="B861" s="15">
        <f>SUM_HEX(C860:F860,B860,3)</f>
        <v>864</v>
      </c>
      <c r="C861" s="16" t="s">
        <v>425</v>
      </c>
      <c r="D861" s="16"/>
      <c r="E861" s="16"/>
      <c r="F861" s="16"/>
      <c r="G861" s="47"/>
      <c r="H861" s="47"/>
      <c r="I861" s="18"/>
      <c r="J861" s="18"/>
      <c r="K861" s="18"/>
      <c r="L861" s="25"/>
    </row>
    <row r="862" hidden="1" customHeight="1" spans="1:12">
      <c r="A862" s="14" t="str">
        <f t="shared" si="18"/>
        <v>0x00000364</v>
      </c>
      <c r="B862" s="15">
        <f>SUM_HEX(C861:F861,B861,3)</f>
        <v>868</v>
      </c>
      <c r="C862" s="16" t="s">
        <v>23</v>
      </c>
      <c r="D862" s="16" t="s">
        <v>23</v>
      </c>
      <c r="E862" s="16"/>
      <c r="F862" s="16"/>
      <c r="G862" s="47"/>
      <c r="H862" s="47"/>
      <c r="I862" s="18"/>
      <c r="J862" s="18"/>
      <c r="K862" s="18"/>
      <c r="L862" s="25"/>
    </row>
    <row r="863" hidden="1" customHeight="1" spans="1:12">
      <c r="A863" s="14" t="str">
        <f t="shared" si="18"/>
        <v>0x0000036C</v>
      </c>
      <c r="B863" s="15">
        <f>SUM_HEX(C862:F862,B862,3)</f>
        <v>876</v>
      </c>
      <c r="C863" s="16" t="s">
        <v>274</v>
      </c>
      <c r="D863" s="16"/>
      <c r="E863" s="16"/>
      <c r="F863" s="16"/>
      <c r="G863" s="48"/>
      <c r="H863" s="48"/>
      <c r="I863" s="18"/>
      <c r="J863" s="18"/>
      <c r="K863" s="18"/>
      <c r="L863" s="25"/>
    </row>
    <row r="864" hidden="1" customHeight="1" spans="1:12">
      <c r="A864" s="14" t="str">
        <f t="shared" si="18"/>
        <v>0x00000370</v>
      </c>
      <c r="B864" s="15">
        <f>SUM_HEX(C863:F863,B863,3)</f>
        <v>880</v>
      </c>
      <c r="C864" s="16" t="s">
        <v>23</v>
      </c>
      <c r="D864" s="16"/>
      <c r="E864" s="16"/>
      <c r="F864" s="16"/>
      <c r="G864" s="18" t="s">
        <v>15</v>
      </c>
      <c r="H864" s="18"/>
      <c r="I864" s="24" t="s">
        <v>426</v>
      </c>
      <c r="J864" s="18"/>
      <c r="K864" s="18" t="s">
        <v>416</v>
      </c>
      <c r="L864" s="25"/>
    </row>
    <row r="865" hidden="1" customHeight="1" spans="1:12">
      <c r="A865" s="14" t="str">
        <f t="shared" si="18"/>
        <v>0x00000374</v>
      </c>
      <c r="B865" s="15">
        <f>SUM_HEX(C864:F864,B864,3)</f>
        <v>884</v>
      </c>
      <c r="C865" s="16" t="s">
        <v>23</v>
      </c>
      <c r="D865" s="16"/>
      <c r="E865" s="16"/>
      <c r="F865" s="16"/>
      <c r="G865" s="46" t="s">
        <v>157</v>
      </c>
      <c r="H865" s="46" t="s">
        <v>212</v>
      </c>
      <c r="I865" s="18" t="s">
        <v>427</v>
      </c>
      <c r="J865" s="18"/>
      <c r="K865" s="18"/>
      <c r="L865" s="25"/>
    </row>
    <row r="866" hidden="1" customHeight="1" spans="1:12">
      <c r="A866" s="14" t="str">
        <f t="shared" si="18"/>
        <v>0x00000378</v>
      </c>
      <c r="B866" s="15">
        <f>SUM_HEX(C865:F865,B865,3)</f>
        <v>888</v>
      </c>
      <c r="C866" s="16" t="s">
        <v>428</v>
      </c>
      <c r="D866" s="16"/>
      <c r="E866" s="16"/>
      <c r="F866" s="16"/>
      <c r="G866" s="47"/>
      <c r="H866" s="47"/>
      <c r="I866" s="18"/>
      <c r="J866" s="18"/>
      <c r="K866" s="18"/>
      <c r="L866" s="25"/>
    </row>
    <row r="867" hidden="1" customHeight="1" spans="1:12">
      <c r="A867" s="14" t="str">
        <f t="shared" si="18"/>
        <v>0x0000037C</v>
      </c>
      <c r="B867" s="15">
        <f>SUM_HEX(C866:F866,B866,3)</f>
        <v>892</v>
      </c>
      <c r="C867" s="16" t="s">
        <v>23</v>
      </c>
      <c r="D867" s="16" t="s">
        <v>23</v>
      </c>
      <c r="E867" s="16"/>
      <c r="F867" s="16"/>
      <c r="G867" s="47"/>
      <c r="H867" s="47"/>
      <c r="I867" s="18"/>
      <c r="J867" s="18"/>
      <c r="K867" s="18"/>
      <c r="L867" s="25"/>
    </row>
    <row r="868" hidden="1" customHeight="1" spans="1:12">
      <c r="A868" s="14" t="str">
        <f t="shared" si="18"/>
        <v>0x00000384</v>
      </c>
      <c r="B868" s="15">
        <f>SUM_HEX(C867:F867,B867,3)</f>
        <v>900</v>
      </c>
      <c r="C868" s="16" t="s">
        <v>274</v>
      </c>
      <c r="D868" s="16"/>
      <c r="E868" s="16"/>
      <c r="F868" s="16"/>
      <c r="G868" s="48"/>
      <c r="H868" s="48"/>
      <c r="I868" s="18"/>
      <c r="J868" s="18"/>
      <c r="K868" s="18"/>
      <c r="L868" s="25"/>
    </row>
    <row r="869" hidden="1" customHeight="1" spans="1:12">
      <c r="A869" s="14" t="str">
        <f t="shared" si="18"/>
        <v>0x00000388</v>
      </c>
      <c r="B869" s="15">
        <f>SUM_HEX(C868:F868,B868,3)</f>
        <v>904</v>
      </c>
      <c r="C869" s="16" t="s">
        <v>23</v>
      </c>
      <c r="D869" s="16"/>
      <c r="E869" s="16"/>
      <c r="F869" s="16"/>
      <c r="G869" s="46" t="s">
        <v>157</v>
      </c>
      <c r="H869" s="46" t="s">
        <v>212</v>
      </c>
      <c r="I869" s="18" t="s">
        <v>429</v>
      </c>
      <c r="J869" s="18"/>
      <c r="K869" s="18"/>
      <c r="L869" s="25"/>
    </row>
    <row r="870" hidden="1" customHeight="1" spans="1:12">
      <c r="A870" s="14" t="str">
        <f t="shared" si="18"/>
        <v>0x0000038C</v>
      </c>
      <c r="B870" s="15">
        <f>SUM_HEX(C869:F869,B869,3)</f>
        <v>908</v>
      </c>
      <c r="C870" s="16" t="s">
        <v>430</v>
      </c>
      <c r="D870" s="16"/>
      <c r="E870" s="16"/>
      <c r="F870" s="16"/>
      <c r="G870" s="47"/>
      <c r="H870" s="47"/>
      <c r="I870" s="18"/>
      <c r="J870" s="18"/>
      <c r="K870" s="18"/>
      <c r="L870" s="25"/>
    </row>
    <row r="871" hidden="1" customHeight="1" spans="1:12">
      <c r="A871" s="14" t="str">
        <f t="shared" si="18"/>
        <v>0x00000390</v>
      </c>
      <c r="B871" s="15">
        <f>SUM_HEX(C870:F870,B870,3)</f>
        <v>912</v>
      </c>
      <c r="C871" s="16" t="s">
        <v>23</v>
      </c>
      <c r="D871" s="16" t="s">
        <v>23</v>
      </c>
      <c r="E871" s="16"/>
      <c r="F871" s="16"/>
      <c r="G871" s="47"/>
      <c r="H871" s="47"/>
      <c r="I871" s="18"/>
      <c r="J871" s="18"/>
      <c r="K871" s="18"/>
      <c r="L871" s="25"/>
    </row>
    <row r="872" hidden="1" customHeight="1" spans="1:12">
      <c r="A872" s="14" t="str">
        <f t="shared" si="18"/>
        <v>0x00000398</v>
      </c>
      <c r="B872" s="15">
        <f>SUM_HEX(C871:F871,B871,3)</f>
        <v>920</v>
      </c>
      <c r="C872" s="16" t="s">
        <v>274</v>
      </c>
      <c r="D872" s="16"/>
      <c r="E872" s="16"/>
      <c r="F872" s="16"/>
      <c r="G872" s="48"/>
      <c r="H872" s="48"/>
      <c r="I872" s="18"/>
      <c r="J872" s="18"/>
      <c r="K872" s="18"/>
      <c r="L872" s="25"/>
    </row>
    <row r="873" hidden="1" customHeight="1" spans="1:12">
      <c r="A873" s="14" t="str">
        <f t="shared" si="18"/>
        <v>0x0000039C</v>
      </c>
      <c r="B873" s="15">
        <f>SUM_HEX(C872:F872,B872,3)</f>
        <v>924</v>
      </c>
      <c r="C873" s="16" t="s">
        <v>23</v>
      </c>
      <c r="D873" s="16"/>
      <c r="E873" s="16"/>
      <c r="F873" s="16"/>
      <c r="G873" s="18" t="s">
        <v>15</v>
      </c>
      <c r="H873" s="18"/>
      <c r="I873" s="24" t="s">
        <v>431</v>
      </c>
      <c r="J873" s="18"/>
      <c r="K873" s="18" t="s">
        <v>416</v>
      </c>
      <c r="L873" s="25"/>
    </row>
    <row r="874" hidden="1" customHeight="1" spans="1:12">
      <c r="A874" s="14" t="str">
        <f t="shared" si="18"/>
        <v>0x000003A0</v>
      </c>
      <c r="B874" s="15">
        <f>SUM_HEX(C873:F873,B873,3)</f>
        <v>928</v>
      </c>
      <c r="C874" s="16" t="s">
        <v>23</v>
      </c>
      <c r="D874" s="16"/>
      <c r="E874" s="16"/>
      <c r="F874" s="16"/>
      <c r="G874" s="46" t="s">
        <v>157</v>
      </c>
      <c r="H874" s="46" t="s">
        <v>212</v>
      </c>
      <c r="I874" s="18" t="s">
        <v>432</v>
      </c>
      <c r="J874" s="18"/>
      <c r="K874" s="18"/>
      <c r="L874" s="25"/>
    </row>
    <row r="875" hidden="1" customHeight="1" spans="1:12">
      <c r="A875" s="14" t="str">
        <f t="shared" si="18"/>
        <v>0x000003A4</v>
      </c>
      <c r="B875" s="15">
        <f>SUM_HEX(C874:F874,B874,3)</f>
        <v>932</v>
      </c>
      <c r="C875" s="16" t="s">
        <v>433</v>
      </c>
      <c r="D875" s="16"/>
      <c r="E875" s="16"/>
      <c r="F875" s="16"/>
      <c r="G875" s="47"/>
      <c r="H875" s="47"/>
      <c r="I875" s="18"/>
      <c r="J875" s="18"/>
      <c r="K875" s="18"/>
      <c r="L875" s="25"/>
    </row>
    <row r="876" hidden="1" customHeight="1" spans="1:12">
      <c r="A876" s="14" t="str">
        <f t="shared" si="18"/>
        <v>0x000003A8</v>
      </c>
      <c r="B876" s="15">
        <f>SUM_HEX(C875:F875,B875,3)</f>
        <v>936</v>
      </c>
      <c r="C876" s="16" t="s">
        <v>23</v>
      </c>
      <c r="D876" s="16" t="s">
        <v>23</v>
      </c>
      <c r="E876" s="16"/>
      <c r="F876" s="16"/>
      <c r="G876" s="47"/>
      <c r="H876" s="47"/>
      <c r="I876" s="18"/>
      <c r="J876" s="18"/>
      <c r="K876" s="18"/>
      <c r="L876" s="25"/>
    </row>
    <row r="877" hidden="1" customHeight="1" spans="1:12">
      <c r="A877" s="14" t="str">
        <f t="shared" si="18"/>
        <v>0x000003B0</v>
      </c>
      <c r="B877" s="15">
        <f>SUM_HEX(C876:F876,B876,3)</f>
        <v>944</v>
      </c>
      <c r="C877" s="16" t="s">
        <v>274</v>
      </c>
      <c r="D877" s="16"/>
      <c r="E877" s="16"/>
      <c r="F877" s="16"/>
      <c r="G877" s="48"/>
      <c r="H877" s="48"/>
      <c r="I877" s="18"/>
      <c r="J877" s="18"/>
      <c r="K877" s="18"/>
      <c r="L877" s="25"/>
    </row>
    <row r="878" hidden="1" customHeight="1" spans="1:12">
      <c r="A878" s="14" t="str">
        <f t="shared" si="18"/>
        <v>0x000003B4</v>
      </c>
      <c r="B878" s="15">
        <f>SUM_HEX(C877:F877,B877,3)</f>
        <v>948</v>
      </c>
      <c r="C878" s="16" t="s">
        <v>23</v>
      </c>
      <c r="D878" s="16"/>
      <c r="E878" s="16"/>
      <c r="F878" s="16"/>
      <c r="G878" s="46" t="s">
        <v>157</v>
      </c>
      <c r="H878" s="46" t="s">
        <v>212</v>
      </c>
      <c r="I878" s="18" t="s">
        <v>434</v>
      </c>
      <c r="J878" s="18"/>
      <c r="K878" s="18"/>
      <c r="L878" s="25"/>
    </row>
    <row r="879" hidden="1" customHeight="1" spans="1:12">
      <c r="A879" s="14" t="str">
        <f t="shared" si="18"/>
        <v>0x000003B8</v>
      </c>
      <c r="B879" s="15">
        <f>SUM_HEX(C878:F878,B878,3)</f>
        <v>952</v>
      </c>
      <c r="C879" s="16" t="s">
        <v>435</v>
      </c>
      <c r="D879" s="16"/>
      <c r="E879" s="16"/>
      <c r="F879" s="16"/>
      <c r="G879" s="47"/>
      <c r="H879" s="47"/>
      <c r="I879" s="18"/>
      <c r="J879" s="18"/>
      <c r="K879" s="18"/>
      <c r="L879" s="25"/>
    </row>
    <row r="880" hidden="1" customHeight="1" spans="1:12">
      <c r="A880" s="14" t="str">
        <f t="shared" si="18"/>
        <v>0x000003BC</v>
      </c>
      <c r="B880" s="15">
        <f>SUM_HEX(C879:F879,B879,3)</f>
        <v>956</v>
      </c>
      <c r="C880" s="16" t="s">
        <v>23</v>
      </c>
      <c r="D880" s="16" t="s">
        <v>23</v>
      </c>
      <c r="E880" s="16"/>
      <c r="F880" s="16"/>
      <c r="G880" s="47"/>
      <c r="H880" s="47"/>
      <c r="I880" s="18"/>
      <c r="J880" s="18"/>
      <c r="K880" s="18"/>
      <c r="L880" s="25"/>
    </row>
    <row r="881" hidden="1" customHeight="1" spans="1:12">
      <c r="A881" s="14" t="str">
        <f t="shared" si="18"/>
        <v>0x000003C4</v>
      </c>
      <c r="B881" s="15">
        <f>SUM_HEX(C880:F880,B880,3)</f>
        <v>964</v>
      </c>
      <c r="C881" s="16" t="s">
        <v>274</v>
      </c>
      <c r="D881" s="16"/>
      <c r="E881" s="16"/>
      <c r="F881" s="16"/>
      <c r="G881" s="48"/>
      <c r="H881" s="48"/>
      <c r="I881" s="18"/>
      <c r="J881" s="18"/>
      <c r="K881" s="18"/>
      <c r="L881" s="25"/>
    </row>
    <row r="882" hidden="1" customHeight="1" spans="1:12">
      <c r="A882" s="14" t="str">
        <f t="shared" si="18"/>
        <v>0x000003C8</v>
      </c>
      <c r="B882" s="15">
        <f>SUM_HEX(C881:F881,B881,3)</f>
        <v>968</v>
      </c>
      <c r="C882" s="16" t="s">
        <v>23</v>
      </c>
      <c r="D882" s="16"/>
      <c r="E882" s="16"/>
      <c r="F882" s="16"/>
      <c r="G882" s="18" t="s">
        <v>15</v>
      </c>
      <c r="H882" s="18"/>
      <c r="I882" s="24" t="s">
        <v>436</v>
      </c>
      <c r="J882" s="18"/>
      <c r="K882" s="18" t="s">
        <v>416</v>
      </c>
      <c r="L882" s="25"/>
    </row>
    <row r="883" hidden="1" customHeight="1" spans="1:12">
      <c r="A883" s="14" t="str">
        <f t="shared" si="18"/>
        <v>0x000003CC</v>
      </c>
      <c r="B883" s="15">
        <f>SUM_HEX(C882:F882,B882,3)</f>
        <v>972</v>
      </c>
      <c r="C883" s="16" t="s">
        <v>23</v>
      </c>
      <c r="D883" s="16"/>
      <c r="E883" s="16"/>
      <c r="F883" s="16"/>
      <c r="G883" s="46" t="s">
        <v>157</v>
      </c>
      <c r="H883" s="46" t="s">
        <v>212</v>
      </c>
      <c r="I883" s="18" t="s">
        <v>437</v>
      </c>
      <c r="J883" s="18"/>
      <c r="K883" s="18"/>
      <c r="L883" s="25"/>
    </row>
    <row r="884" hidden="1" customHeight="1" spans="1:12">
      <c r="A884" s="14" t="str">
        <f t="shared" si="18"/>
        <v>0x000003D0</v>
      </c>
      <c r="B884" s="15">
        <f>SUM_HEX(C883:F883,B883,3)</f>
        <v>976</v>
      </c>
      <c r="C884" s="16" t="s">
        <v>438</v>
      </c>
      <c r="D884" s="16"/>
      <c r="E884" s="16"/>
      <c r="F884" s="16"/>
      <c r="G884" s="47"/>
      <c r="H884" s="47"/>
      <c r="I884" s="18"/>
      <c r="J884" s="18"/>
      <c r="K884" s="18"/>
      <c r="L884" s="25"/>
    </row>
    <row r="885" hidden="1" customHeight="1" spans="1:12">
      <c r="A885" s="14" t="str">
        <f t="shared" ref="A885:A935" si="19">"0x"&amp;DEC2HEX(B885,8)</f>
        <v>0x000003D4</v>
      </c>
      <c r="B885" s="15">
        <f>SUM_HEX(C884:F884,B884,3)</f>
        <v>980</v>
      </c>
      <c r="C885" s="16" t="s">
        <v>23</v>
      </c>
      <c r="D885" s="16" t="s">
        <v>23</v>
      </c>
      <c r="E885" s="16"/>
      <c r="F885" s="16"/>
      <c r="G885" s="47"/>
      <c r="H885" s="47"/>
      <c r="I885" s="18"/>
      <c r="J885" s="18"/>
      <c r="K885" s="18"/>
      <c r="L885" s="25"/>
    </row>
    <row r="886" hidden="1" customHeight="1" spans="1:12">
      <c r="A886" s="14" t="str">
        <f t="shared" si="19"/>
        <v>0x000003DC</v>
      </c>
      <c r="B886" s="15">
        <f>SUM_HEX(C885:F885,B885,3)</f>
        <v>988</v>
      </c>
      <c r="C886" s="16" t="s">
        <v>274</v>
      </c>
      <c r="D886" s="16"/>
      <c r="E886" s="16"/>
      <c r="F886" s="16"/>
      <c r="G886" s="48"/>
      <c r="H886" s="48"/>
      <c r="I886" s="18"/>
      <c r="J886" s="18"/>
      <c r="K886" s="18"/>
      <c r="L886" s="25"/>
    </row>
    <row r="887" hidden="1" customHeight="1" spans="1:12">
      <c r="A887" s="14" t="str">
        <f t="shared" si="19"/>
        <v>0x000003E0</v>
      </c>
      <c r="B887" s="15">
        <f>SUM_HEX(C886:F886,B886,3)</f>
        <v>992</v>
      </c>
      <c r="C887" s="16" t="s">
        <v>23</v>
      </c>
      <c r="D887" s="16"/>
      <c r="E887" s="16"/>
      <c r="F887" s="16"/>
      <c r="G887" s="46" t="s">
        <v>157</v>
      </c>
      <c r="H887" s="46" t="s">
        <v>212</v>
      </c>
      <c r="I887" s="18" t="s">
        <v>439</v>
      </c>
      <c r="J887" s="18"/>
      <c r="K887" s="18"/>
      <c r="L887" s="25"/>
    </row>
    <row r="888" hidden="1" customHeight="1" spans="1:12">
      <c r="A888" s="14" t="str">
        <f t="shared" si="19"/>
        <v>0x000003E4</v>
      </c>
      <c r="B888" s="15">
        <f>SUM_HEX(C887:F887,B887,3)</f>
        <v>996</v>
      </c>
      <c r="C888" s="16" t="s">
        <v>440</v>
      </c>
      <c r="D888" s="16"/>
      <c r="E888" s="16"/>
      <c r="F888" s="16"/>
      <c r="G888" s="47"/>
      <c r="H888" s="47"/>
      <c r="I888" s="18"/>
      <c r="J888" s="18"/>
      <c r="K888" s="18"/>
      <c r="L888" s="25"/>
    </row>
    <row r="889" hidden="1" customHeight="1" spans="1:12">
      <c r="A889" s="14" t="str">
        <f t="shared" si="19"/>
        <v>0x000003E8</v>
      </c>
      <c r="B889" s="15">
        <f>SUM_HEX(C888:F888,B888,3)</f>
        <v>1000</v>
      </c>
      <c r="C889" s="16" t="s">
        <v>23</v>
      </c>
      <c r="D889" s="16" t="s">
        <v>23</v>
      </c>
      <c r="E889" s="16"/>
      <c r="F889" s="16"/>
      <c r="G889" s="47"/>
      <c r="H889" s="47"/>
      <c r="I889" s="18"/>
      <c r="J889" s="18"/>
      <c r="K889" s="18"/>
      <c r="L889" s="25"/>
    </row>
    <row r="890" hidden="1" customHeight="1" spans="1:12">
      <c r="A890" s="14" t="str">
        <f t="shared" si="19"/>
        <v>0x000003F0</v>
      </c>
      <c r="B890" s="15">
        <f>SUM_HEX(C889:F889,B889,3)</f>
        <v>1008</v>
      </c>
      <c r="C890" s="16" t="s">
        <v>274</v>
      </c>
      <c r="D890" s="16"/>
      <c r="E890" s="16"/>
      <c r="F890" s="16"/>
      <c r="G890" s="48"/>
      <c r="H890" s="48"/>
      <c r="I890" s="18"/>
      <c r="J890" s="18"/>
      <c r="K890" s="18"/>
      <c r="L890" s="25"/>
    </row>
    <row r="891" hidden="1" customHeight="1" spans="1:12">
      <c r="A891" s="14" t="str">
        <f t="shared" si="19"/>
        <v>0x000003F4</v>
      </c>
      <c r="B891" s="15">
        <f>SUM_HEX(C890:F890,B890,3)</f>
        <v>1012</v>
      </c>
      <c r="C891" s="16" t="s">
        <v>23</v>
      </c>
      <c r="D891" s="16"/>
      <c r="E891" s="16"/>
      <c r="F891" s="16"/>
      <c r="G891" s="18" t="s">
        <v>15</v>
      </c>
      <c r="H891" s="18"/>
      <c r="I891" s="24"/>
      <c r="J891" s="18"/>
      <c r="K891" s="18"/>
      <c r="L891" s="25"/>
    </row>
    <row r="892" hidden="1" customHeight="1" spans="1:12">
      <c r="A892" s="14" t="str">
        <f t="shared" si="19"/>
        <v>0x000003F8</v>
      </c>
      <c r="B892" s="15">
        <f>SUM_HEX(C891:F891,B891,3)</f>
        <v>1016</v>
      </c>
      <c r="C892" s="16" t="s">
        <v>23</v>
      </c>
      <c r="D892" s="16"/>
      <c r="E892" s="16"/>
      <c r="F892" s="16"/>
      <c r="G892" s="46" t="s">
        <v>157</v>
      </c>
      <c r="H892" s="46"/>
      <c r="I892" s="18"/>
      <c r="J892" s="18"/>
      <c r="K892" s="18"/>
      <c r="L892" s="25"/>
    </row>
    <row r="893" hidden="1" customHeight="1" spans="1:12">
      <c r="A893" s="14" t="str">
        <f t="shared" si="19"/>
        <v>0x000003FC</v>
      </c>
      <c r="B893" s="15">
        <f>SUM_HEX(C892:F892,B892,3)</f>
        <v>1020</v>
      </c>
      <c r="C893" s="16" t="s">
        <v>441</v>
      </c>
      <c r="D893" s="16"/>
      <c r="E893" s="16"/>
      <c r="F893" s="16"/>
      <c r="G893" s="47"/>
      <c r="H893" s="47"/>
      <c r="I893" s="18"/>
      <c r="J893" s="18"/>
      <c r="K893" s="18"/>
      <c r="L893" s="25"/>
    </row>
    <row r="894" hidden="1" customHeight="1" spans="1:12">
      <c r="A894" s="14" t="str">
        <f t="shared" si="19"/>
        <v>0x00000400</v>
      </c>
      <c r="B894" s="15">
        <f>SUM_HEX(C893:F893,B893,3)</f>
        <v>1024</v>
      </c>
      <c r="C894" s="16" t="s">
        <v>23</v>
      </c>
      <c r="D894" s="16" t="s">
        <v>23</v>
      </c>
      <c r="E894" s="16"/>
      <c r="F894" s="16"/>
      <c r="G894" s="47"/>
      <c r="H894" s="47"/>
      <c r="I894" s="18"/>
      <c r="J894" s="18"/>
      <c r="K894" s="18"/>
      <c r="L894" s="25"/>
    </row>
    <row r="895" hidden="1" customHeight="1" spans="1:12">
      <c r="A895" s="14" t="str">
        <f t="shared" si="19"/>
        <v>0x00000408</v>
      </c>
      <c r="B895" s="15">
        <f>SUM_HEX(C894:F894,B894,3)</f>
        <v>1032</v>
      </c>
      <c r="C895" s="16" t="s">
        <v>274</v>
      </c>
      <c r="D895" s="16"/>
      <c r="E895" s="16"/>
      <c r="F895" s="16"/>
      <c r="G895" s="48"/>
      <c r="H895" s="48"/>
      <c r="I895" s="18"/>
      <c r="J895" s="18"/>
      <c r="K895" s="18"/>
      <c r="L895" s="25"/>
    </row>
    <row r="896" hidden="1" customHeight="1" spans="1:12">
      <c r="A896" s="14" t="str">
        <f t="shared" si="19"/>
        <v>0x0000040C</v>
      </c>
      <c r="B896" s="15">
        <f>SUM_HEX(C895:F895,B895,3)</f>
        <v>1036</v>
      </c>
      <c r="C896" s="16" t="s">
        <v>23</v>
      </c>
      <c r="D896" s="16"/>
      <c r="E896" s="16"/>
      <c r="F896" s="16"/>
      <c r="G896" s="46" t="s">
        <v>157</v>
      </c>
      <c r="H896" s="46"/>
      <c r="I896" s="18"/>
      <c r="J896" s="18"/>
      <c r="K896" s="18"/>
      <c r="L896" s="25"/>
    </row>
    <row r="897" hidden="1" customHeight="1" spans="1:12">
      <c r="A897" s="14" t="str">
        <f t="shared" si="19"/>
        <v>0x00000410</v>
      </c>
      <c r="B897" s="15">
        <f>SUM_HEX(C896:F896,B896,3)</f>
        <v>1040</v>
      </c>
      <c r="C897" s="16" t="s">
        <v>442</v>
      </c>
      <c r="D897" s="16"/>
      <c r="E897" s="16"/>
      <c r="F897" s="16"/>
      <c r="G897" s="47"/>
      <c r="H897" s="47"/>
      <c r="I897" s="18"/>
      <c r="J897" s="18"/>
      <c r="K897" s="18"/>
      <c r="L897" s="25"/>
    </row>
    <row r="898" hidden="1" customHeight="1" spans="1:12">
      <c r="A898" s="14" t="str">
        <f t="shared" si="19"/>
        <v>0x00000414</v>
      </c>
      <c r="B898" s="15">
        <f>SUM_HEX(C897:F897,B897,3)</f>
        <v>1044</v>
      </c>
      <c r="C898" s="16" t="s">
        <v>23</v>
      </c>
      <c r="D898" s="16" t="s">
        <v>23</v>
      </c>
      <c r="E898" s="16"/>
      <c r="F898" s="16"/>
      <c r="G898" s="47"/>
      <c r="H898" s="47"/>
      <c r="I898" s="18"/>
      <c r="J898" s="18"/>
      <c r="K898" s="18"/>
      <c r="L898" s="25"/>
    </row>
    <row r="899" hidden="1" customHeight="1" spans="1:12">
      <c r="A899" s="14" t="str">
        <f t="shared" si="19"/>
        <v>0x0000041C</v>
      </c>
      <c r="B899" s="15">
        <f>SUM_HEX(C898:F898,B898,3)</f>
        <v>1052</v>
      </c>
      <c r="C899" s="16" t="s">
        <v>274</v>
      </c>
      <c r="D899" s="16"/>
      <c r="E899" s="16"/>
      <c r="F899" s="16"/>
      <c r="G899" s="48"/>
      <c r="H899" s="48"/>
      <c r="I899" s="18"/>
      <c r="J899" s="18"/>
      <c r="K899" s="18"/>
      <c r="L899" s="25"/>
    </row>
    <row r="900" hidden="1" customHeight="1" spans="1:12">
      <c r="A900" s="14" t="str">
        <f t="shared" si="19"/>
        <v>0x00000420</v>
      </c>
      <c r="B900" s="15">
        <f>SUM_HEX(C899:F899,B899,3)</f>
        <v>1056</v>
      </c>
      <c r="C900" s="16" t="s">
        <v>23</v>
      </c>
      <c r="D900" s="16"/>
      <c r="E900" s="16"/>
      <c r="F900" s="16"/>
      <c r="G900" s="18" t="s">
        <v>15</v>
      </c>
      <c r="H900" s="18"/>
      <c r="I900" s="24" t="s">
        <v>443</v>
      </c>
      <c r="J900" s="18"/>
      <c r="K900" s="18" t="s">
        <v>416</v>
      </c>
      <c r="L900" s="25"/>
    </row>
    <row r="901" hidden="1" customHeight="1" spans="1:12">
      <c r="A901" s="14" t="str">
        <f t="shared" si="19"/>
        <v>0x00000424</v>
      </c>
      <c r="B901" s="15">
        <f>SUM_HEX(C900:F900,B900,3)</f>
        <v>1060</v>
      </c>
      <c r="C901" s="16" t="s">
        <v>23</v>
      </c>
      <c r="D901" s="16"/>
      <c r="E901" s="16"/>
      <c r="F901" s="16"/>
      <c r="G901" s="46" t="s">
        <v>157</v>
      </c>
      <c r="H901" s="46" t="s">
        <v>212</v>
      </c>
      <c r="I901" s="18" t="s">
        <v>444</v>
      </c>
      <c r="J901" s="18"/>
      <c r="K901" s="18"/>
      <c r="L901" s="25"/>
    </row>
    <row r="902" hidden="1" customHeight="1" spans="1:12">
      <c r="A902" s="14" t="str">
        <f t="shared" si="19"/>
        <v>0x00000428</v>
      </c>
      <c r="B902" s="15">
        <f>SUM_HEX(C901:F901,B901,3)</f>
        <v>1064</v>
      </c>
      <c r="C902" s="16" t="s">
        <v>445</v>
      </c>
      <c r="D902" s="16"/>
      <c r="E902" s="16"/>
      <c r="F902" s="16"/>
      <c r="G902" s="47"/>
      <c r="H902" s="47"/>
      <c r="I902" s="18"/>
      <c r="J902" s="18"/>
      <c r="K902" s="18"/>
      <c r="L902" s="25"/>
    </row>
    <row r="903" hidden="1" customHeight="1" spans="1:12">
      <c r="A903" s="14" t="str">
        <f t="shared" si="19"/>
        <v>0x0000042C</v>
      </c>
      <c r="B903" s="15">
        <f>SUM_HEX(C902:F902,B902,3)</f>
        <v>1068</v>
      </c>
      <c r="C903" s="16" t="s">
        <v>23</v>
      </c>
      <c r="D903" s="16" t="s">
        <v>23</v>
      </c>
      <c r="E903" s="16"/>
      <c r="F903" s="16"/>
      <c r="G903" s="47"/>
      <c r="H903" s="47"/>
      <c r="I903" s="18"/>
      <c r="J903" s="18"/>
      <c r="K903" s="18"/>
      <c r="L903" s="25"/>
    </row>
    <row r="904" hidden="1" customHeight="1" spans="1:12">
      <c r="A904" s="14" t="str">
        <f t="shared" si="19"/>
        <v>0x00000434</v>
      </c>
      <c r="B904" s="15">
        <f>SUM_HEX(C903:F903,B903,3)</f>
        <v>1076</v>
      </c>
      <c r="C904" s="16" t="s">
        <v>274</v>
      </c>
      <c r="D904" s="16"/>
      <c r="E904" s="16"/>
      <c r="F904" s="16"/>
      <c r="G904" s="48"/>
      <c r="H904" s="48"/>
      <c r="I904" s="18"/>
      <c r="J904" s="18"/>
      <c r="K904" s="18"/>
      <c r="L904" s="25"/>
    </row>
    <row r="905" hidden="1" customHeight="1" spans="1:12">
      <c r="A905" s="14" t="str">
        <f t="shared" si="19"/>
        <v>0x00000438</v>
      </c>
      <c r="B905" s="15">
        <f>SUM_HEX(C904:F904,B904,3)</f>
        <v>1080</v>
      </c>
      <c r="C905" s="16" t="s">
        <v>23</v>
      </c>
      <c r="D905" s="16"/>
      <c r="E905" s="16"/>
      <c r="F905" s="16"/>
      <c r="G905" s="46" t="s">
        <v>157</v>
      </c>
      <c r="H905" s="46" t="s">
        <v>212</v>
      </c>
      <c r="I905" s="18" t="s">
        <v>446</v>
      </c>
      <c r="J905" s="18"/>
      <c r="K905" s="18"/>
      <c r="L905" s="25"/>
    </row>
    <row r="906" hidden="1" customHeight="1" spans="1:12">
      <c r="A906" s="14" t="str">
        <f t="shared" si="19"/>
        <v>0x0000043C</v>
      </c>
      <c r="B906" s="15">
        <f>SUM_HEX(C905:F905,B905,3)</f>
        <v>1084</v>
      </c>
      <c r="C906" s="16" t="s">
        <v>447</v>
      </c>
      <c r="D906" s="16"/>
      <c r="E906" s="16"/>
      <c r="F906" s="16"/>
      <c r="G906" s="47"/>
      <c r="H906" s="47"/>
      <c r="I906" s="18"/>
      <c r="J906" s="18"/>
      <c r="K906" s="18"/>
      <c r="L906" s="25"/>
    </row>
    <row r="907" hidden="1" customHeight="1" spans="1:12">
      <c r="A907" s="14" t="str">
        <f t="shared" si="19"/>
        <v>0x00000440</v>
      </c>
      <c r="B907" s="15">
        <f>SUM_HEX(C906:F906,B906,3)</f>
        <v>1088</v>
      </c>
      <c r="C907" s="16" t="s">
        <v>23</v>
      </c>
      <c r="D907" s="16" t="s">
        <v>23</v>
      </c>
      <c r="E907" s="16"/>
      <c r="F907" s="16"/>
      <c r="G907" s="47"/>
      <c r="H907" s="47"/>
      <c r="I907" s="18"/>
      <c r="J907" s="18"/>
      <c r="K907" s="18"/>
      <c r="L907" s="25"/>
    </row>
    <row r="908" hidden="1" customHeight="1" spans="1:12">
      <c r="A908" s="14" t="str">
        <f t="shared" si="19"/>
        <v>0x00000448</v>
      </c>
      <c r="B908" s="15">
        <f>SUM_HEX(C907:F907,B907,3)</f>
        <v>1096</v>
      </c>
      <c r="C908" s="16" t="s">
        <v>274</v>
      </c>
      <c r="D908" s="16"/>
      <c r="E908" s="16"/>
      <c r="F908" s="16"/>
      <c r="G908" s="48"/>
      <c r="H908" s="48"/>
      <c r="I908" s="18"/>
      <c r="J908" s="18"/>
      <c r="K908" s="18"/>
      <c r="L908" s="25"/>
    </row>
    <row r="909" hidden="1" customHeight="1" spans="1:12">
      <c r="A909" s="14" t="str">
        <f t="shared" si="19"/>
        <v>0x0000044C</v>
      </c>
      <c r="B909" s="15">
        <f>SUM_HEX(C908:F908,B908,3)</f>
        <v>1100</v>
      </c>
      <c r="C909" s="16" t="s">
        <v>23</v>
      </c>
      <c r="D909" s="16"/>
      <c r="E909" s="16"/>
      <c r="F909" s="16"/>
      <c r="G909" s="18" t="s">
        <v>15</v>
      </c>
      <c r="H909" s="18"/>
      <c r="I909" s="24" t="s">
        <v>448</v>
      </c>
      <c r="J909" s="18"/>
      <c r="K909" s="18" t="s">
        <v>416</v>
      </c>
      <c r="L909" s="25"/>
    </row>
    <row r="910" hidden="1" customHeight="1" spans="1:12">
      <c r="A910" s="14" t="str">
        <f t="shared" si="19"/>
        <v>0x00000450</v>
      </c>
      <c r="B910" s="15">
        <f>SUM_HEX(C909:F909,B909,3)</f>
        <v>1104</v>
      </c>
      <c r="C910" s="16" t="s">
        <v>23</v>
      </c>
      <c r="D910" s="16"/>
      <c r="E910" s="16"/>
      <c r="F910" s="16"/>
      <c r="G910" s="46" t="s">
        <v>157</v>
      </c>
      <c r="H910" s="46" t="s">
        <v>212</v>
      </c>
      <c r="I910" s="18" t="s">
        <v>449</v>
      </c>
      <c r="J910" s="18"/>
      <c r="K910" s="18"/>
      <c r="L910" s="25"/>
    </row>
    <row r="911" hidden="1" customHeight="1" spans="1:12">
      <c r="A911" s="14" t="str">
        <f t="shared" si="19"/>
        <v>0x00000454</v>
      </c>
      <c r="B911" s="15">
        <f>SUM_HEX(C910:F910,B910,3)</f>
        <v>1108</v>
      </c>
      <c r="C911" s="16" t="s">
        <v>450</v>
      </c>
      <c r="D911" s="16"/>
      <c r="E911" s="16"/>
      <c r="F911" s="16"/>
      <c r="G911" s="47"/>
      <c r="H911" s="47"/>
      <c r="I911" s="18"/>
      <c r="J911" s="18"/>
      <c r="K911" s="18"/>
      <c r="L911" s="25"/>
    </row>
    <row r="912" hidden="1" customHeight="1" spans="1:12">
      <c r="A912" s="14" t="str">
        <f t="shared" si="19"/>
        <v>0x00000458</v>
      </c>
      <c r="B912" s="15">
        <f>SUM_HEX(C911:F911,B911,3)</f>
        <v>1112</v>
      </c>
      <c r="C912" s="16" t="s">
        <v>23</v>
      </c>
      <c r="D912" s="16" t="s">
        <v>23</v>
      </c>
      <c r="E912" s="16"/>
      <c r="F912" s="16"/>
      <c r="G912" s="47"/>
      <c r="H912" s="47"/>
      <c r="I912" s="18"/>
      <c r="J912" s="18"/>
      <c r="K912" s="18"/>
      <c r="L912" s="25"/>
    </row>
    <row r="913" hidden="1" customHeight="1" spans="1:12">
      <c r="A913" s="14" t="str">
        <f t="shared" si="19"/>
        <v>0x00000460</v>
      </c>
      <c r="B913" s="15">
        <f>SUM_HEX(C912:F912,B912,3)</f>
        <v>1120</v>
      </c>
      <c r="C913" s="16" t="s">
        <v>274</v>
      </c>
      <c r="D913" s="16"/>
      <c r="E913" s="16"/>
      <c r="F913" s="16"/>
      <c r="G913" s="48"/>
      <c r="H913" s="48"/>
      <c r="I913" s="18"/>
      <c r="J913" s="18"/>
      <c r="K913" s="18"/>
      <c r="L913" s="25"/>
    </row>
    <row r="914" hidden="1" customHeight="1" spans="1:12">
      <c r="A914" s="14" t="str">
        <f t="shared" si="19"/>
        <v>0x00000464</v>
      </c>
      <c r="B914" s="15">
        <f>SUM_HEX(C913:F913,B913,3)</f>
        <v>1124</v>
      </c>
      <c r="C914" s="16" t="s">
        <v>23</v>
      </c>
      <c r="D914" s="16"/>
      <c r="E914" s="16"/>
      <c r="F914" s="16"/>
      <c r="G914" s="46" t="s">
        <v>157</v>
      </c>
      <c r="H914" s="46" t="s">
        <v>212</v>
      </c>
      <c r="I914" s="18" t="s">
        <v>451</v>
      </c>
      <c r="J914" s="18"/>
      <c r="K914" s="18"/>
      <c r="L914" s="25"/>
    </row>
    <row r="915" hidden="1" customHeight="1" spans="1:12">
      <c r="A915" s="14" t="str">
        <f t="shared" si="19"/>
        <v>0x00000468</v>
      </c>
      <c r="B915" s="15">
        <f>SUM_HEX(C914:F914,B914,3)</f>
        <v>1128</v>
      </c>
      <c r="C915" s="16" t="s">
        <v>452</v>
      </c>
      <c r="D915" s="16"/>
      <c r="E915" s="16"/>
      <c r="F915" s="16"/>
      <c r="G915" s="47"/>
      <c r="H915" s="47"/>
      <c r="I915" s="18"/>
      <c r="J915" s="18"/>
      <c r="K915" s="18"/>
      <c r="L915" s="25"/>
    </row>
    <row r="916" hidden="1" customHeight="1" spans="1:12">
      <c r="A916" s="14" t="str">
        <f t="shared" si="19"/>
        <v>0x0000046C</v>
      </c>
      <c r="B916" s="15">
        <f>SUM_HEX(C915:F915,B915,3)</f>
        <v>1132</v>
      </c>
      <c r="C916" s="16" t="s">
        <v>23</v>
      </c>
      <c r="D916" s="16" t="s">
        <v>23</v>
      </c>
      <c r="E916" s="16"/>
      <c r="F916" s="16"/>
      <c r="G916" s="47"/>
      <c r="H916" s="47"/>
      <c r="I916" s="18"/>
      <c r="J916" s="18"/>
      <c r="K916" s="18"/>
      <c r="L916" s="25"/>
    </row>
    <row r="917" hidden="1" customHeight="1" spans="1:12">
      <c r="A917" s="14" t="str">
        <f t="shared" si="19"/>
        <v>0x00000474</v>
      </c>
      <c r="B917" s="15">
        <f>SUM_HEX(C916:F916,B916,3)</f>
        <v>1140</v>
      </c>
      <c r="C917" s="16" t="s">
        <v>274</v>
      </c>
      <c r="D917" s="16"/>
      <c r="E917" s="16"/>
      <c r="F917" s="16"/>
      <c r="G917" s="48"/>
      <c r="H917" s="48"/>
      <c r="I917" s="18"/>
      <c r="J917" s="18"/>
      <c r="K917" s="18"/>
      <c r="L917" s="25"/>
    </row>
    <row r="918" hidden="1" customHeight="1" spans="1:12">
      <c r="A918" s="14" t="str">
        <f t="shared" si="19"/>
        <v>0x00000478</v>
      </c>
      <c r="B918" s="15">
        <f>SUM_HEX(C917:F917,B917,3)</f>
        <v>1144</v>
      </c>
      <c r="C918" s="16" t="s">
        <v>23</v>
      </c>
      <c r="D918" s="16"/>
      <c r="E918" s="16"/>
      <c r="F918" s="16"/>
      <c r="G918" s="18" t="s">
        <v>15</v>
      </c>
      <c r="H918" s="18"/>
      <c r="I918" s="24" t="s">
        <v>453</v>
      </c>
      <c r="J918" s="18"/>
      <c r="K918" s="18" t="s">
        <v>416</v>
      </c>
      <c r="L918" s="25"/>
    </row>
    <row r="919" hidden="1" customHeight="1" spans="1:12">
      <c r="A919" s="14" t="str">
        <f t="shared" si="19"/>
        <v>0x0000047C</v>
      </c>
      <c r="B919" s="15">
        <f>SUM_HEX(C918:F918,B918,3)</f>
        <v>1148</v>
      </c>
      <c r="C919" s="16" t="s">
        <v>23</v>
      </c>
      <c r="D919" s="16"/>
      <c r="E919" s="16"/>
      <c r="F919" s="16"/>
      <c r="G919" s="46" t="s">
        <v>157</v>
      </c>
      <c r="H919" s="46" t="s">
        <v>212</v>
      </c>
      <c r="I919" s="18" t="s">
        <v>454</v>
      </c>
      <c r="J919" s="18"/>
      <c r="K919" s="18"/>
      <c r="L919" s="25"/>
    </row>
    <row r="920" hidden="1" customHeight="1" spans="1:12">
      <c r="A920" s="14" t="str">
        <f t="shared" si="19"/>
        <v>0x00000480</v>
      </c>
      <c r="B920" s="15">
        <f>SUM_HEX(C919:F919,B919,3)</f>
        <v>1152</v>
      </c>
      <c r="C920" s="16" t="s">
        <v>455</v>
      </c>
      <c r="D920" s="16"/>
      <c r="E920" s="16"/>
      <c r="F920" s="16"/>
      <c r="G920" s="47"/>
      <c r="H920" s="47"/>
      <c r="I920" s="18"/>
      <c r="J920" s="18"/>
      <c r="K920" s="18"/>
      <c r="L920" s="25"/>
    </row>
    <row r="921" hidden="1" customHeight="1" spans="1:12">
      <c r="A921" s="14" t="str">
        <f t="shared" si="19"/>
        <v>0x00000484</v>
      </c>
      <c r="B921" s="15">
        <f>SUM_HEX(C920:F920,B920,3)</f>
        <v>1156</v>
      </c>
      <c r="C921" s="16" t="s">
        <v>23</v>
      </c>
      <c r="D921" s="16" t="s">
        <v>23</v>
      </c>
      <c r="E921" s="16"/>
      <c r="F921" s="16"/>
      <c r="G921" s="47"/>
      <c r="H921" s="47"/>
      <c r="I921" s="18"/>
      <c r="J921" s="18"/>
      <c r="K921" s="18"/>
      <c r="L921" s="25"/>
    </row>
    <row r="922" hidden="1" customHeight="1" spans="1:12">
      <c r="A922" s="14" t="str">
        <f t="shared" si="19"/>
        <v>0x0000048C</v>
      </c>
      <c r="B922" s="15">
        <f>SUM_HEX(C921:F921,B921,3)</f>
        <v>1164</v>
      </c>
      <c r="C922" s="16" t="s">
        <v>274</v>
      </c>
      <c r="D922" s="16"/>
      <c r="E922" s="16"/>
      <c r="F922" s="16"/>
      <c r="G922" s="48"/>
      <c r="H922" s="48"/>
      <c r="I922" s="18"/>
      <c r="J922" s="18"/>
      <c r="K922" s="18"/>
      <c r="L922" s="25"/>
    </row>
    <row r="923" hidden="1" customHeight="1" spans="1:12">
      <c r="A923" s="14" t="str">
        <f t="shared" si="19"/>
        <v>0x00000490</v>
      </c>
      <c r="B923" s="15">
        <f>SUM_HEX(C922:F922,B922,3)</f>
        <v>1168</v>
      </c>
      <c r="C923" s="16" t="s">
        <v>23</v>
      </c>
      <c r="D923" s="16"/>
      <c r="E923" s="16"/>
      <c r="F923" s="16"/>
      <c r="G923" s="46" t="s">
        <v>157</v>
      </c>
      <c r="H923" s="46" t="s">
        <v>212</v>
      </c>
      <c r="I923" s="18" t="s">
        <v>456</v>
      </c>
      <c r="J923" s="18"/>
      <c r="K923" s="18"/>
      <c r="L923" s="25"/>
    </row>
    <row r="924" hidden="1" customHeight="1" spans="1:12">
      <c r="A924" s="14" t="str">
        <f t="shared" si="19"/>
        <v>0x00000494</v>
      </c>
      <c r="B924" s="15">
        <f>SUM_HEX(C923:F923,B923,3)</f>
        <v>1172</v>
      </c>
      <c r="C924" s="16" t="s">
        <v>457</v>
      </c>
      <c r="D924" s="16"/>
      <c r="E924" s="16"/>
      <c r="F924" s="16"/>
      <c r="G924" s="47"/>
      <c r="H924" s="47"/>
      <c r="I924" s="18"/>
      <c r="J924" s="18"/>
      <c r="K924" s="18"/>
      <c r="L924" s="25"/>
    </row>
    <row r="925" hidden="1" customHeight="1" spans="1:12">
      <c r="A925" s="14" t="str">
        <f t="shared" si="19"/>
        <v>0x00000498</v>
      </c>
      <c r="B925" s="15">
        <f>SUM_HEX(C924:F924,B924,3)</f>
        <v>1176</v>
      </c>
      <c r="C925" s="16" t="s">
        <v>23</v>
      </c>
      <c r="D925" s="16" t="s">
        <v>23</v>
      </c>
      <c r="E925" s="16"/>
      <c r="F925" s="16"/>
      <c r="G925" s="47"/>
      <c r="H925" s="47"/>
      <c r="I925" s="18"/>
      <c r="J925" s="18"/>
      <c r="K925" s="18"/>
      <c r="L925" s="25"/>
    </row>
    <row r="926" hidden="1" customHeight="1" spans="1:12">
      <c r="A926" s="14" t="str">
        <f t="shared" si="19"/>
        <v>0x000004A0</v>
      </c>
      <c r="B926" s="15">
        <f>SUM_HEX(C925:F925,B925,3)</f>
        <v>1184</v>
      </c>
      <c r="C926" s="16" t="s">
        <v>274</v>
      </c>
      <c r="D926" s="16"/>
      <c r="E926" s="16"/>
      <c r="F926" s="16"/>
      <c r="G926" s="48"/>
      <c r="H926" s="48"/>
      <c r="I926" s="18"/>
      <c r="J926" s="18"/>
      <c r="K926" s="18"/>
      <c r="L926" s="25"/>
    </row>
    <row r="927" hidden="1" customHeight="1" spans="1:12">
      <c r="A927" s="14" t="str">
        <f t="shared" si="19"/>
        <v>0x000004A4</v>
      </c>
      <c r="B927" s="15">
        <f>SUM_HEX(C926:F926,B926,3)</f>
        <v>1188</v>
      </c>
      <c r="C927" s="16" t="s">
        <v>23</v>
      </c>
      <c r="D927" s="16"/>
      <c r="E927" s="16"/>
      <c r="F927" s="16"/>
      <c r="G927" s="46" t="s">
        <v>157</v>
      </c>
      <c r="H927" s="46" t="s">
        <v>212</v>
      </c>
      <c r="I927" s="18" t="s">
        <v>458</v>
      </c>
      <c r="J927" s="18"/>
      <c r="K927" s="18"/>
      <c r="L927" s="25" t="s">
        <v>272</v>
      </c>
    </row>
    <row r="928" hidden="1" customHeight="1" spans="1:12">
      <c r="A928" s="14" t="str">
        <f t="shared" si="19"/>
        <v>0x000004A8</v>
      </c>
      <c r="B928" s="15">
        <f>SUM_HEX(C927:F927,B927,3)</f>
        <v>1192</v>
      </c>
      <c r="C928" s="16" t="s">
        <v>459</v>
      </c>
      <c r="D928" s="16"/>
      <c r="E928" s="16"/>
      <c r="F928" s="16"/>
      <c r="G928" s="47"/>
      <c r="H928" s="47"/>
      <c r="I928" s="18"/>
      <c r="J928" s="18"/>
      <c r="K928" s="18"/>
      <c r="L928" s="25"/>
    </row>
    <row r="929" hidden="1" customHeight="1" spans="1:12">
      <c r="A929" s="14" t="str">
        <f t="shared" si="19"/>
        <v>0x000004AC</v>
      </c>
      <c r="B929" s="15">
        <f>SUM_HEX(C928:F928,B928,3)</f>
        <v>1196</v>
      </c>
      <c r="C929" s="16" t="s">
        <v>23</v>
      </c>
      <c r="D929" s="16" t="s">
        <v>23</v>
      </c>
      <c r="E929" s="16"/>
      <c r="F929" s="16"/>
      <c r="G929" s="47"/>
      <c r="H929" s="47"/>
      <c r="I929" s="18"/>
      <c r="J929" s="18"/>
      <c r="K929" s="18"/>
      <c r="L929" s="25"/>
    </row>
    <row r="930" hidden="1" customHeight="1" spans="1:12">
      <c r="A930" s="14" t="str">
        <f t="shared" si="19"/>
        <v>0x000004B4</v>
      </c>
      <c r="B930" s="15">
        <f>SUM_HEX(C929:F929,B929,3)</f>
        <v>1204</v>
      </c>
      <c r="C930" s="16" t="s">
        <v>274</v>
      </c>
      <c r="D930" s="16"/>
      <c r="E930" s="16"/>
      <c r="F930" s="16"/>
      <c r="G930" s="48"/>
      <c r="H930" s="48"/>
      <c r="I930" s="18"/>
      <c r="J930" s="18"/>
      <c r="K930" s="18"/>
      <c r="L930" s="25"/>
    </row>
    <row r="931" customHeight="1" spans="1:12">
      <c r="A931" s="14" t="str">
        <f t="shared" si="19"/>
        <v>0x000004B8</v>
      </c>
      <c r="B931" s="15">
        <f>SUM_HEX(C930:F930,B930,3)</f>
        <v>1208</v>
      </c>
      <c r="C931" s="51" t="s">
        <v>23</v>
      </c>
      <c r="D931" s="51"/>
      <c r="E931" s="51"/>
      <c r="F931" s="51"/>
      <c r="G931" s="61" t="s">
        <v>157</v>
      </c>
      <c r="H931" s="61" t="s">
        <v>212</v>
      </c>
      <c r="I931" s="52" t="s">
        <v>460</v>
      </c>
      <c r="J931" s="52"/>
      <c r="K931" s="52"/>
      <c r="L931" s="51"/>
    </row>
    <row r="932" customHeight="1" spans="1:12">
      <c r="A932" s="14" t="str">
        <f t="shared" si="19"/>
        <v>0x000004B8</v>
      </c>
      <c r="B932" s="15">
        <f>SUM_HEX(C931:F931,B931,3)</f>
        <v>1208</v>
      </c>
      <c r="C932" s="51" t="s">
        <v>461</v>
      </c>
      <c r="D932" s="51"/>
      <c r="E932" s="51"/>
      <c r="F932" s="51"/>
      <c r="G932" s="62"/>
      <c r="H932" s="62"/>
      <c r="I932" s="52"/>
      <c r="J932" s="52"/>
      <c r="K932" s="52"/>
      <c r="L932" s="51"/>
    </row>
    <row r="933" customHeight="1" spans="1:12">
      <c r="A933" s="14" t="str">
        <f t="shared" si="19"/>
        <v>0x000004B8</v>
      </c>
      <c r="B933" s="15">
        <f>SUM_HEX(C932:F932,B932,3)</f>
        <v>1208</v>
      </c>
      <c r="C933" s="51" t="s">
        <v>23</v>
      </c>
      <c r="D933" s="51" t="s">
        <v>23</v>
      </c>
      <c r="E933" s="51"/>
      <c r="F933" s="51"/>
      <c r="G933" s="62"/>
      <c r="H933" s="62"/>
      <c r="I933" s="52"/>
      <c r="J933" s="52"/>
      <c r="K933" s="52"/>
      <c r="L933" s="51"/>
    </row>
    <row r="934" customHeight="1" spans="1:12">
      <c r="A934" s="14" t="str">
        <f t="shared" si="19"/>
        <v>0x000004B8</v>
      </c>
      <c r="B934" s="15">
        <f>SUM_HEX(C933:F933,B933,3)</f>
        <v>1208</v>
      </c>
      <c r="C934" s="51" t="s">
        <v>274</v>
      </c>
      <c r="D934" s="51"/>
      <c r="E934" s="51"/>
      <c r="F934" s="51"/>
      <c r="G934" s="63"/>
      <c r="H934" s="63"/>
      <c r="I934" s="52"/>
      <c r="J934" s="52"/>
      <c r="K934" s="52"/>
      <c r="L934" s="51"/>
    </row>
    <row r="935" hidden="1" customHeight="1" spans="1:12">
      <c r="A935" s="14" t="str">
        <f t="shared" si="19"/>
        <v>0x000004B8</v>
      </c>
      <c r="B935" s="15">
        <f>SUM_HEX(C934:F934,B934,3)</f>
        <v>1208</v>
      </c>
      <c r="C935" s="16" t="s">
        <v>462</v>
      </c>
      <c r="D935" s="16"/>
      <c r="E935" s="16"/>
      <c r="F935" s="16"/>
      <c r="G935" s="18" t="s">
        <v>33</v>
      </c>
      <c r="H935" s="18" t="s">
        <v>54</v>
      </c>
      <c r="I935" s="24" t="s">
        <v>463</v>
      </c>
      <c r="J935" s="24" t="s">
        <v>464</v>
      </c>
      <c r="K935" s="18"/>
      <c r="L935" s="25"/>
    </row>
    <row r="936" hidden="1" customHeight="1" spans="1:12">
      <c r="A936" s="14"/>
      <c r="B936" s="15"/>
      <c r="C936" s="16"/>
      <c r="D936" s="16"/>
      <c r="E936" s="16"/>
      <c r="F936" s="16"/>
      <c r="G936" s="18"/>
      <c r="H936" s="18" t="s">
        <v>57</v>
      </c>
      <c r="I936" s="24"/>
      <c r="J936" s="24" t="s">
        <v>465</v>
      </c>
      <c r="K936" s="18"/>
      <c r="L936" s="25"/>
    </row>
    <row r="937" hidden="1" customHeight="1" spans="1:12">
      <c r="A937" s="14"/>
      <c r="B937" s="15"/>
      <c r="C937" s="16"/>
      <c r="D937" s="16"/>
      <c r="E937" s="16"/>
      <c r="F937" s="16"/>
      <c r="G937" s="18"/>
      <c r="H937" s="18" t="s">
        <v>58</v>
      </c>
      <c r="I937" s="24"/>
      <c r="J937" s="24" t="s">
        <v>466</v>
      </c>
      <c r="K937" s="18"/>
      <c r="L937" s="25"/>
    </row>
    <row r="938" hidden="1" customHeight="1" spans="1:12">
      <c r="A938" s="14"/>
      <c r="B938" s="15"/>
      <c r="C938" s="16"/>
      <c r="D938" s="16"/>
      <c r="E938" s="16"/>
      <c r="F938" s="16"/>
      <c r="G938" s="18"/>
      <c r="H938" s="18" t="s">
        <v>59</v>
      </c>
      <c r="I938" s="24"/>
      <c r="J938" s="24" t="s">
        <v>467</v>
      </c>
      <c r="K938" s="18"/>
      <c r="L938" s="25"/>
    </row>
    <row r="939" hidden="1" customHeight="1" spans="1:12">
      <c r="A939" s="14"/>
      <c r="B939" s="15"/>
      <c r="C939" s="16"/>
      <c r="D939" s="16"/>
      <c r="E939" s="16"/>
      <c r="F939" s="16"/>
      <c r="G939" s="18"/>
      <c r="H939" s="18" t="s">
        <v>60</v>
      </c>
      <c r="I939" s="24"/>
      <c r="J939" s="24" t="s">
        <v>468</v>
      </c>
      <c r="K939" s="18"/>
      <c r="L939" s="25"/>
    </row>
    <row r="940" hidden="1" customHeight="1" spans="1:12">
      <c r="A940" s="14"/>
      <c r="B940" s="15"/>
      <c r="C940" s="16"/>
      <c r="D940" s="16"/>
      <c r="E940" s="16"/>
      <c r="F940" s="16"/>
      <c r="G940" s="18"/>
      <c r="H940" s="18" t="s">
        <v>61</v>
      </c>
      <c r="I940" s="24"/>
      <c r="J940" s="18"/>
      <c r="K940" s="18"/>
      <c r="L940" s="25"/>
    </row>
    <row r="941" hidden="1" customHeight="1" spans="1:12">
      <c r="A941" s="14"/>
      <c r="B941" s="15"/>
      <c r="C941" s="16"/>
      <c r="D941" s="16"/>
      <c r="E941" s="16"/>
      <c r="F941" s="16"/>
      <c r="G941" s="18"/>
      <c r="H941" s="18" t="s">
        <v>62</v>
      </c>
      <c r="I941" s="24"/>
      <c r="J941" s="24" t="s">
        <v>469</v>
      </c>
      <c r="K941" s="18"/>
      <c r="L941" s="25"/>
    </row>
    <row r="942" hidden="1" customHeight="1" spans="1:12">
      <c r="A942" s="14"/>
      <c r="B942" s="15"/>
      <c r="C942" s="16"/>
      <c r="D942" s="16"/>
      <c r="E942" s="16"/>
      <c r="F942" s="16"/>
      <c r="G942" s="18"/>
      <c r="H942" s="18" t="s">
        <v>63</v>
      </c>
      <c r="I942" s="24"/>
      <c r="J942" s="24" t="s">
        <v>470</v>
      </c>
      <c r="K942" s="18"/>
      <c r="L942" s="25"/>
    </row>
    <row r="943" hidden="1" customHeight="1" spans="1:12">
      <c r="A943" s="14"/>
      <c r="B943" s="15"/>
      <c r="C943" s="16"/>
      <c r="D943" s="16"/>
      <c r="E943" s="16"/>
      <c r="F943" s="16"/>
      <c r="G943" s="18"/>
      <c r="H943" s="18" t="s">
        <v>64</v>
      </c>
      <c r="I943" s="24"/>
      <c r="J943" s="24" t="s">
        <v>471</v>
      </c>
      <c r="K943" s="18"/>
      <c r="L943" s="25"/>
    </row>
    <row r="944" hidden="1" customHeight="1" spans="1:12">
      <c r="A944" s="14"/>
      <c r="B944" s="15"/>
      <c r="C944" s="16"/>
      <c r="D944" s="16"/>
      <c r="E944" s="16"/>
      <c r="F944" s="16"/>
      <c r="G944" s="18"/>
      <c r="H944" s="18" t="s">
        <v>65</v>
      </c>
      <c r="I944" s="24"/>
      <c r="J944" s="24" t="s">
        <v>472</v>
      </c>
      <c r="K944" s="18"/>
      <c r="L944" s="25"/>
    </row>
    <row r="945" hidden="1" customHeight="1" spans="1:12">
      <c r="A945" s="14"/>
      <c r="B945" s="15"/>
      <c r="C945" s="16"/>
      <c r="D945" s="16"/>
      <c r="E945" s="16"/>
      <c r="F945" s="16"/>
      <c r="G945" s="18"/>
      <c r="H945" s="18" t="s">
        <v>66</v>
      </c>
      <c r="I945" s="24"/>
      <c r="J945" s="24" t="s">
        <v>473</v>
      </c>
      <c r="K945" s="18"/>
      <c r="L945" s="25"/>
    </row>
    <row r="946" hidden="1" customHeight="1" spans="1:12">
      <c r="A946" s="14"/>
      <c r="B946" s="15"/>
      <c r="C946" s="16"/>
      <c r="D946" s="16"/>
      <c r="E946" s="16"/>
      <c r="F946" s="16"/>
      <c r="G946" s="18"/>
      <c r="H946" s="18" t="s">
        <v>67</v>
      </c>
      <c r="I946" s="24"/>
      <c r="J946" s="24" t="s">
        <v>474</v>
      </c>
      <c r="K946" s="18"/>
      <c r="L946" s="25"/>
    </row>
    <row r="947" hidden="1" customHeight="1" spans="1:12">
      <c r="A947" s="14"/>
      <c r="B947" s="15"/>
      <c r="C947" s="16"/>
      <c r="D947" s="16"/>
      <c r="E947" s="16"/>
      <c r="F947" s="16"/>
      <c r="G947" s="18"/>
      <c r="H947" s="18" t="s">
        <v>68</v>
      </c>
      <c r="I947" s="24"/>
      <c r="J947" s="24" t="s">
        <v>475</v>
      </c>
      <c r="K947" s="18"/>
      <c r="L947" s="25"/>
    </row>
    <row r="948" hidden="1" customHeight="1" spans="1:12">
      <c r="A948" s="14"/>
      <c r="B948" s="15"/>
      <c r="C948" s="16"/>
      <c r="D948" s="16"/>
      <c r="E948" s="16"/>
      <c r="F948" s="16"/>
      <c r="G948" s="18"/>
      <c r="H948" s="18" t="s">
        <v>69</v>
      </c>
      <c r="I948" s="24"/>
      <c r="J948" s="24" t="s">
        <v>476</v>
      </c>
      <c r="K948" s="18"/>
      <c r="L948" s="25"/>
    </row>
    <row r="949" hidden="1" customHeight="1" spans="1:12">
      <c r="A949" s="14"/>
      <c r="B949" s="15"/>
      <c r="C949" s="16"/>
      <c r="D949" s="16"/>
      <c r="E949" s="16"/>
      <c r="F949" s="16"/>
      <c r="G949" s="18"/>
      <c r="H949" s="18" t="s">
        <v>70</v>
      </c>
      <c r="I949" s="24"/>
      <c r="J949" s="24" t="s">
        <v>477</v>
      </c>
      <c r="K949" s="18"/>
      <c r="L949" s="25"/>
    </row>
    <row r="950" hidden="1" customHeight="1" spans="1:12">
      <c r="A950" s="14"/>
      <c r="B950" s="15"/>
      <c r="C950" s="16"/>
      <c r="D950" s="16"/>
      <c r="E950" s="16"/>
      <c r="F950" s="16"/>
      <c r="G950" s="18"/>
      <c r="H950" s="18" t="s">
        <v>71</v>
      </c>
      <c r="I950" s="24"/>
      <c r="J950" s="24" t="s">
        <v>478</v>
      </c>
      <c r="K950" s="18"/>
      <c r="L950" s="25"/>
    </row>
    <row r="951" hidden="1" customHeight="1" spans="1:12">
      <c r="A951" s="14"/>
      <c r="B951" s="15"/>
      <c r="C951" s="16"/>
      <c r="D951" s="16"/>
      <c r="E951" s="16"/>
      <c r="F951" s="16"/>
      <c r="G951" s="18"/>
      <c r="H951" s="18" t="s">
        <v>72</v>
      </c>
      <c r="I951" s="24"/>
      <c r="J951" s="24" t="s">
        <v>479</v>
      </c>
      <c r="K951" s="18"/>
      <c r="L951" s="25"/>
    </row>
    <row r="952" hidden="1" customHeight="1" spans="1:12">
      <c r="A952" s="14"/>
      <c r="B952" s="15"/>
      <c r="C952" s="16"/>
      <c r="D952" s="16"/>
      <c r="E952" s="16"/>
      <c r="F952" s="16"/>
      <c r="G952" s="18"/>
      <c r="H952" s="18" t="s">
        <v>73</v>
      </c>
      <c r="I952" s="24"/>
      <c r="J952" s="24" t="s">
        <v>480</v>
      </c>
      <c r="K952" s="18"/>
      <c r="L952" s="25"/>
    </row>
    <row r="953" hidden="1" customHeight="1" spans="1:12">
      <c r="A953" s="14"/>
      <c r="B953" s="15"/>
      <c r="C953" s="16"/>
      <c r="D953" s="16"/>
      <c r="E953" s="16"/>
      <c r="F953" s="16"/>
      <c r="G953" s="18"/>
      <c r="H953" s="18" t="s">
        <v>74</v>
      </c>
      <c r="I953" s="24"/>
      <c r="J953" s="24" t="s">
        <v>481</v>
      </c>
      <c r="K953" s="18"/>
      <c r="L953" s="25"/>
    </row>
    <row r="954" hidden="1" customHeight="1" spans="1:12">
      <c r="A954" s="14"/>
      <c r="B954" s="15"/>
      <c r="C954" s="16"/>
      <c r="D954" s="16"/>
      <c r="E954" s="16"/>
      <c r="F954" s="16"/>
      <c r="G954" s="18"/>
      <c r="H954" s="18" t="s">
        <v>75</v>
      </c>
      <c r="I954" s="24"/>
      <c r="J954" s="24" t="s">
        <v>482</v>
      </c>
      <c r="K954" s="18"/>
      <c r="L954" s="25"/>
    </row>
    <row r="955" hidden="1" customHeight="1" spans="1:12">
      <c r="A955" s="14"/>
      <c r="B955" s="15"/>
      <c r="C955" s="16"/>
      <c r="D955" s="16"/>
      <c r="E955" s="16"/>
      <c r="F955" s="16"/>
      <c r="G955" s="18"/>
      <c r="H955" s="18" t="s">
        <v>76</v>
      </c>
      <c r="I955" s="24"/>
      <c r="J955" s="24" t="s">
        <v>483</v>
      </c>
      <c r="K955" s="18"/>
      <c r="L955" s="25"/>
    </row>
    <row r="956" hidden="1" customHeight="1" spans="1:12">
      <c r="A956" s="14"/>
      <c r="B956" s="15"/>
      <c r="C956" s="16"/>
      <c r="D956" s="16"/>
      <c r="E956" s="16"/>
      <c r="F956" s="16"/>
      <c r="G956" s="18"/>
      <c r="H956" s="18" t="s">
        <v>77</v>
      </c>
      <c r="I956" s="24"/>
      <c r="J956" s="24" t="s">
        <v>484</v>
      </c>
      <c r="K956" s="18"/>
      <c r="L956" s="25"/>
    </row>
    <row r="957" hidden="1" customHeight="1" spans="1:12">
      <c r="A957" s="14"/>
      <c r="B957" s="15"/>
      <c r="C957" s="16"/>
      <c r="D957" s="16"/>
      <c r="E957" s="16"/>
      <c r="F957" s="16"/>
      <c r="G957" s="18"/>
      <c r="H957" s="18" t="s">
        <v>78</v>
      </c>
      <c r="I957" s="24"/>
      <c r="J957" s="24" t="s">
        <v>485</v>
      </c>
      <c r="K957" s="18"/>
      <c r="L957" s="25"/>
    </row>
    <row r="958" hidden="1" customHeight="1" spans="1:12">
      <c r="A958" s="14"/>
      <c r="B958" s="15"/>
      <c r="C958" s="16"/>
      <c r="D958" s="16"/>
      <c r="E958" s="16"/>
      <c r="F958" s="16"/>
      <c r="G958" s="18"/>
      <c r="H958" s="18" t="s">
        <v>79</v>
      </c>
      <c r="I958" s="24"/>
      <c r="J958" s="24" t="s">
        <v>486</v>
      </c>
      <c r="K958" s="18"/>
      <c r="L958" s="25"/>
    </row>
    <row r="959" hidden="1" customHeight="1" spans="1:12">
      <c r="A959" s="14"/>
      <c r="B959" s="15"/>
      <c r="C959" s="16"/>
      <c r="D959" s="16"/>
      <c r="E959" s="16"/>
      <c r="F959" s="16"/>
      <c r="G959" s="18"/>
      <c r="H959" s="18" t="s">
        <v>80</v>
      </c>
      <c r="I959" s="24"/>
      <c r="J959" s="24" t="s">
        <v>487</v>
      </c>
      <c r="K959" s="18"/>
      <c r="L959" s="25"/>
    </row>
    <row r="960" hidden="1" customHeight="1" spans="1:12">
      <c r="A960" s="14"/>
      <c r="B960" s="15"/>
      <c r="C960" s="16"/>
      <c r="D960" s="16"/>
      <c r="E960" s="16"/>
      <c r="F960" s="16"/>
      <c r="G960" s="18"/>
      <c r="H960" s="18" t="s">
        <v>81</v>
      </c>
      <c r="I960" s="24"/>
      <c r="J960" s="24" t="s">
        <v>488</v>
      </c>
      <c r="K960" s="18"/>
      <c r="L960" s="25"/>
    </row>
    <row r="961" hidden="1" customHeight="1" spans="1:12">
      <c r="A961" s="14"/>
      <c r="B961" s="15"/>
      <c r="C961" s="16"/>
      <c r="D961" s="16"/>
      <c r="E961" s="16"/>
      <c r="F961" s="16"/>
      <c r="G961" s="18"/>
      <c r="H961" s="18" t="s">
        <v>82</v>
      </c>
      <c r="I961" s="24"/>
      <c r="J961" s="24" t="s">
        <v>489</v>
      </c>
      <c r="K961" s="18"/>
      <c r="L961" s="25"/>
    </row>
    <row r="962" hidden="1" customHeight="1" spans="1:12">
      <c r="A962" s="14"/>
      <c r="B962" s="15"/>
      <c r="C962" s="16"/>
      <c r="D962" s="16"/>
      <c r="E962" s="16"/>
      <c r="F962" s="16"/>
      <c r="G962" s="18"/>
      <c r="H962" s="18" t="s">
        <v>83</v>
      </c>
      <c r="I962" s="24"/>
      <c r="J962" s="24"/>
      <c r="K962" s="18"/>
      <c r="L962" s="25"/>
    </row>
    <row r="963" hidden="1" customHeight="1" spans="1:12">
      <c r="A963" s="14"/>
      <c r="B963" s="15"/>
      <c r="C963" s="16"/>
      <c r="D963" s="16"/>
      <c r="E963" s="16"/>
      <c r="F963" s="16"/>
      <c r="G963" s="18"/>
      <c r="H963" s="18" t="s">
        <v>84</v>
      </c>
      <c r="I963" s="24"/>
      <c r="J963" s="24" t="s">
        <v>490</v>
      </c>
      <c r="K963" s="18"/>
      <c r="L963" s="25"/>
    </row>
    <row r="964" hidden="1" customHeight="1" spans="1:12">
      <c r="A964" s="14"/>
      <c r="B964" s="15"/>
      <c r="C964" s="16"/>
      <c r="D964" s="16"/>
      <c r="E964" s="16"/>
      <c r="F964" s="16"/>
      <c r="G964" s="18"/>
      <c r="H964" s="18" t="s">
        <v>85</v>
      </c>
      <c r="I964" s="24"/>
      <c r="J964" s="24" t="s">
        <v>491</v>
      </c>
      <c r="K964" s="18"/>
      <c r="L964" s="25"/>
    </row>
    <row r="965" hidden="1" customHeight="1" spans="1:12">
      <c r="A965" s="14"/>
      <c r="B965" s="15"/>
      <c r="C965" s="16"/>
      <c r="D965" s="16"/>
      <c r="E965" s="16"/>
      <c r="F965" s="16"/>
      <c r="G965" s="18"/>
      <c r="H965" s="18" t="s">
        <v>86</v>
      </c>
      <c r="I965" s="24"/>
      <c r="J965" s="24" t="s">
        <v>492</v>
      </c>
      <c r="K965" s="18"/>
      <c r="L965" s="25"/>
    </row>
    <row r="966" hidden="1" customHeight="1" spans="1:12">
      <c r="A966" s="14"/>
      <c r="B966" s="15"/>
      <c r="C966" s="16"/>
      <c r="D966" s="16"/>
      <c r="E966" s="16"/>
      <c r="F966" s="16"/>
      <c r="G966" s="18"/>
      <c r="H966" s="18" t="s">
        <v>87</v>
      </c>
      <c r="I966" s="24"/>
      <c r="J966" s="24"/>
      <c r="K966" s="18"/>
      <c r="L966" s="25"/>
    </row>
    <row r="967" hidden="1" customHeight="1" spans="1:12">
      <c r="A967" s="14" t="str">
        <f>"0x"&amp;DEC2HEX(B967,8)</f>
        <v>0x000004BC</v>
      </c>
      <c r="B967" s="15">
        <f>SUM_HEX(C935:F966,B935,3)</f>
        <v>1212</v>
      </c>
      <c r="C967" s="16" t="s">
        <v>493</v>
      </c>
      <c r="D967" s="16"/>
      <c r="E967" s="16"/>
      <c r="F967" s="16"/>
      <c r="G967" s="18" t="s">
        <v>33</v>
      </c>
      <c r="H967" s="18" t="s">
        <v>54</v>
      </c>
      <c r="I967" s="24" t="s">
        <v>494</v>
      </c>
      <c r="J967" s="18" t="s">
        <v>495</v>
      </c>
      <c r="K967" s="18"/>
      <c r="L967" s="25"/>
    </row>
    <row r="968" hidden="1" customHeight="1" spans="1:12">
      <c r="A968" s="14"/>
      <c r="B968" s="15"/>
      <c r="C968" s="16"/>
      <c r="D968" s="16"/>
      <c r="E968" s="16"/>
      <c r="F968" s="16"/>
      <c r="G968" s="18"/>
      <c r="H968" s="18" t="s">
        <v>57</v>
      </c>
      <c r="I968" s="24"/>
      <c r="J968" s="18" t="s">
        <v>496</v>
      </c>
      <c r="K968" s="18"/>
      <c r="L968" s="25"/>
    </row>
    <row r="969" hidden="1" customHeight="1" spans="1:12">
      <c r="A969" s="14"/>
      <c r="B969" s="15"/>
      <c r="C969" s="16"/>
      <c r="D969" s="16"/>
      <c r="E969" s="16"/>
      <c r="F969" s="16"/>
      <c r="G969" s="18"/>
      <c r="H969" s="18" t="s">
        <v>58</v>
      </c>
      <c r="I969" s="24"/>
      <c r="J969" s="18" t="s">
        <v>497</v>
      </c>
      <c r="K969" s="18"/>
      <c r="L969" s="25"/>
    </row>
    <row r="970" hidden="1" customHeight="1" spans="1:12">
      <c r="A970" s="14"/>
      <c r="B970" s="15"/>
      <c r="C970" s="16"/>
      <c r="D970" s="16"/>
      <c r="E970" s="16"/>
      <c r="F970" s="16"/>
      <c r="G970" s="18"/>
      <c r="H970" s="18" t="s">
        <v>59</v>
      </c>
      <c r="I970" s="24"/>
      <c r="J970" s="18" t="s">
        <v>498</v>
      </c>
      <c r="K970" s="18"/>
      <c r="L970" s="25"/>
    </row>
    <row r="971" hidden="1" customHeight="1" spans="1:12">
      <c r="A971" s="14"/>
      <c r="B971" s="15"/>
      <c r="C971" s="16"/>
      <c r="D971" s="16"/>
      <c r="E971" s="16"/>
      <c r="F971" s="16"/>
      <c r="G971" s="18"/>
      <c r="H971" s="18" t="s">
        <v>60</v>
      </c>
      <c r="I971" s="24"/>
      <c r="J971" s="18" t="s">
        <v>500</v>
      </c>
      <c r="K971" s="18"/>
      <c r="L971" s="25"/>
    </row>
    <row r="972" hidden="1" customHeight="1" spans="1:12">
      <c r="A972" s="14"/>
      <c r="B972" s="15"/>
      <c r="C972" s="16"/>
      <c r="D972" s="16"/>
      <c r="E972" s="16"/>
      <c r="F972" s="16"/>
      <c r="G972" s="18"/>
      <c r="H972" s="18" t="s">
        <v>61</v>
      </c>
      <c r="I972" s="24"/>
      <c r="J972" s="18" t="s">
        <v>500</v>
      </c>
      <c r="K972" s="18"/>
      <c r="L972" s="25"/>
    </row>
    <row r="973" hidden="1" customHeight="1" spans="1:12">
      <c r="A973" s="14"/>
      <c r="B973" s="15"/>
      <c r="C973" s="16"/>
      <c r="D973" s="16"/>
      <c r="E973" s="16"/>
      <c r="F973" s="16"/>
      <c r="G973" s="18"/>
      <c r="H973" s="18" t="s">
        <v>62</v>
      </c>
      <c r="I973" s="24"/>
      <c r="J973" s="18"/>
      <c r="K973" s="18"/>
      <c r="L973" s="25"/>
    </row>
    <row r="974" hidden="1" customHeight="1" spans="1:12">
      <c r="A974" s="14"/>
      <c r="B974" s="15"/>
      <c r="C974" s="16"/>
      <c r="D974" s="16"/>
      <c r="E974" s="16"/>
      <c r="F974" s="16"/>
      <c r="G974" s="18"/>
      <c r="H974" s="18" t="s">
        <v>63</v>
      </c>
      <c r="I974" s="24"/>
      <c r="J974" s="18" t="s">
        <v>501</v>
      </c>
      <c r="K974" s="18"/>
      <c r="L974" s="25"/>
    </row>
    <row r="975" hidden="1" customHeight="1" spans="1:12">
      <c r="A975" s="14" t="str">
        <f t="shared" ref="A975:A1020" si="20">"0x"&amp;DEC2HEX(B975,8)</f>
        <v>0x000004C0</v>
      </c>
      <c r="B975" s="15">
        <f>SUM_HEX(C967:F967,B967,3)</f>
        <v>1216</v>
      </c>
      <c r="C975" s="16" t="s">
        <v>23</v>
      </c>
      <c r="D975" s="16"/>
      <c r="E975" s="16"/>
      <c r="F975" s="16"/>
      <c r="G975" s="18" t="s">
        <v>15</v>
      </c>
      <c r="H975" s="18"/>
      <c r="I975" s="24" t="s">
        <v>502</v>
      </c>
      <c r="J975" s="18"/>
      <c r="K975" s="18" t="s">
        <v>372</v>
      </c>
      <c r="L975" s="25"/>
    </row>
    <row r="976" hidden="1" customHeight="1" spans="1:12">
      <c r="A976" s="14" t="str">
        <f t="shared" si="20"/>
        <v>0x000004C4</v>
      </c>
      <c r="B976" s="15">
        <f>SUM_HEX(C975:F975,B975,3)</f>
        <v>1220</v>
      </c>
      <c r="C976" s="16" t="s">
        <v>23</v>
      </c>
      <c r="D976" s="16"/>
      <c r="E976" s="16"/>
      <c r="F976" s="16"/>
      <c r="G976" s="18" t="s">
        <v>15</v>
      </c>
      <c r="H976" s="18"/>
      <c r="I976" s="24" t="s">
        <v>503</v>
      </c>
      <c r="J976" s="18"/>
      <c r="K976" s="18" t="s">
        <v>372</v>
      </c>
      <c r="L976" s="25"/>
    </row>
    <row r="977" hidden="1" customHeight="1" spans="1:12">
      <c r="A977" s="14" t="str">
        <f t="shared" si="20"/>
        <v>0x000004C8</v>
      </c>
      <c r="B977" s="15">
        <f>SUM_HEX(C976:F976,B976,3)</f>
        <v>1224</v>
      </c>
      <c r="C977" s="16" t="s">
        <v>23</v>
      </c>
      <c r="D977" s="16"/>
      <c r="E977" s="16"/>
      <c r="F977" s="16"/>
      <c r="G977" s="18" t="s">
        <v>15</v>
      </c>
      <c r="H977" s="18"/>
      <c r="I977" s="24" t="s">
        <v>504</v>
      </c>
      <c r="J977" s="18"/>
      <c r="K977" s="18" t="s">
        <v>372</v>
      </c>
      <c r="L977" s="25"/>
    </row>
    <row r="978" hidden="1" customHeight="1" spans="1:12">
      <c r="A978" s="14" t="str">
        <f t="shared" si="20"/>
        <v>0x000004CC</v>
      </c>
      <c r="B978" s="15">
        <f>SUM_HEX(C977:F977,B977,3)</f>
        <v>1228</v>
      </c>
      <c r="C978" s="16" t="s">
        <v>23</v>
      </c>
      <c r="D978" s="16"/>
      <c r="E978" s="16"/>
      <c r="F978" s="16"/>
      <c r="G978" s="46" t="s">
        <v>157</v>
      </c>
      <c r="H978" s="46" t="s">
        <v>212</v>
      </c>
      <c r="I978" s="18" t="s">
        <v>505</v>
      </c>
      <c r="J978" s="18"/>
      <c r="K978" s="18"/>
      <c r="L978" s="25"/>
    </row>
    <row r="979" hidden="1" customHeight="1" spans="1:12">
      <c r="A979" s="14" t="str">
        <f t="shared" si="20"/>
        <v>0x000004D0</v>
      </c>
      <c r="B979" s="15">
        <f>SUM_HEX(C978:F978,B978,3)</f>
        <v>1232</v>
      </c>
      <c r="C979" s="16" t="s">
        <v>506</v>
      </c>
      <c r="D979" s="16"/>
      <c r="E979" s="16"/>
      <c r="F979" s="16"/>
      <c r="G979" s="47"/>
      <c r="H979" s="47"/>
      <c r="I979" s="18"/>
      <c r="J979" s="18"/>
      <c r="K979" s="18"/>
      <c r="L979" s="25"/>
    </row>
    <row r="980" hidden="1" customHeight="1" spans="1:12">
      <c r="A980" s="14" t="str">
        <f t="shared" si="20"/>
        <v>0x000004D4</v>
      </c>
      <c r="B980" s="15">
        <f>SUM_HEX(C979:F979,B979,3)</f>
        <v>1236</v>
      </c>
      <c r="C980" s="16" t="s">
        <v>507</v>
      </c>
      <c r="D980" s="16" t="s">
        <v>23</v>
      </c>
      <c r="E980" s="16"/>
      <c r="F980" s="16"/>
      <c r="G980" s="47"/>
      <c r="H980" s="47"/>
      <c r="I980" s="18"/>
      <c r="J980" s="18"/>
      <c r="K980" s="18"/>
      <c r="L980" s="25"/>
    </row>
    <row r="981" hidden="1" customHeight="1" spans="1:12">
      <c r="A981" s="14" t="str">
        <f t="shared" si="20"/>
        <v>0x000004DC</v>
      </c>
      <c r="B981" s="15">
        <f>SUM_HEX(C980:F980,B980,3)</f>
        <v>1244</v>
      </c>
      <c r="C981" s="16" t="s">
        <v>274</v>
      </c>
      <c r="D981" s="16"/>
      <c r="E981" s="16"/>
      <c r="F981" s="16"/>
      <c r="G981" s="48"/>
      <c r="H981" s="48"/>
      <c r="I981" s="18"/>
      <c r="J981" s="18"/>
      <c r="K981" s="18"/>
      <c r="L981" s="25"/>
    </row>
    <row r="982" hidden="1" customHeight="1" spans="1:12">
      <c r="A982" s="14" t="str">
        <f t="shared" si="20"/>
        <v>0x000004E0</v>
      </c>
      <c r="B982" s="15">
        <f>SUM_HEX(C981:F981,B981,3)</f>
        <v>1248</v>
      </c>
      <c r="C982" s="16" t="s">
        <v>23</v>
      </c>
      <c r="D982" s="16"/>
      <c r="E982" s="16"/>
      <c r="F982" s="16"/>
      <c r="G982" s="46" t="s">
        <v>157</v>
      </c>
      <c r="H982" s="46" t="s">
        <v>508</v>
      </c>
      <c r="I982" s="24" t="s">
        <v>509</v>
      </c>
      <c r="J982" s="18"/>
      <c r="K982" s="18"/>
      <c r="L982" s="25"/>
    </row>
    <row r="983" hidden="1" customHeight="1" spans="1:12">
      <c r="A983" s="14" t="str">
        <f t="shared" si="20"/>
        <v>0x000004E4</v>
      </c>
      <c r="B983" s="15">
        <f>SUM_HEX(C982:F982,B982,3)</f>
        <v>1252</v>
      </c>
      <c r="C983" s="16" t="s">
        <v>510</v>
      </c>
      <c r="D983" s="16"/>
      <c r="E983" s="16"/>
      <c r="F983" s="16"/>
      <c r="G983" s="47"/>
      <c r="H983" s="47"/>
      <c r="I983" s="18"/>
      <c r="J983" s="18"/>
      <c r="K983" s="18"/>
      <c r="L983" s="25"/>
    </row>
    <row r="984" hidden="1" customHeight="1" spans="1:12">
      <c r="A984" s="14" t="str">
        <f t="shared" si="20"/>
        <v>0x000004E8</v>
      </c>
      <c r="B984" s="15">
        <f>SUM_HEX(C983:F983,B983,3)</f>
        <v>1256</v>
      </c>
      <c r="C984" s="16" t="s">
        <v>23</v>
      </c>
      <c r="D984" s="16" t="s">
        <v>23</v>
      </c>
      <c r="E984" s="16"/>
      <c r="F984" s="16"/>
      <c r="G984" s="47"/>
      <c r="H984" s="47"/>
      <c r="I984" s="18"/>
      <c r="J984" s="18"/>
      <c r="K984" s="18"/>
      <c r="L984" s="25"/>
    </row>
    <row r="985" hidden="1" customHeight="1" spans="1:12">
      <c r="A985" s="14" t="str">
        <f t="shared" si="20"/>
        <v>0x000004F0</v>
      </c>
      <c r="B985" s="15">
        <f>SUM_HEX(C984:F984,B984,3)</f>
        <v>1264</v>
      </c>
      <c r="C985" s="16" t="s">
        <v>23</v>
      </c>
      <c r="D985" s="16" t="s">
        <v>23</v>
      </c>
      <c r="E985" s="16"/>
      <c r="F985" s="16"/>
      <c r="G985" s="47"/>
      <c r="H985" s="47"/>
      <c r="I985" s="18"/>
      <c r="J985" s="18"/>
      <c r="K985" s="18"/>
      <c r="L985" s="25"/>
    </row>
    <row r="986" hidden="1" customHeight="1" spans="1:12">
      <c r="A986" s="14" t="str">
        <f t="shared" si="20"/>
        <v>0x000004F8</v>
      </c>
      <c r="B986" s="15">
        <f>SUM_HEX(C985:F985,B985,3)</f>
        <v>1272</v>
      </c>
      <c r="C986" s="16" t="s">
        <v>274</v>
      </c>
      <c r="D986" s="16"/>
      <c r="E986" s="16"/>
      <c r="F986" s="16"/>
      <c r="G986" s="48"/>
      <c r="H986" s="48"/>
      <c r="I986" s="18"/>
      <c r="J986" s="18"/>
      <c r="K986" s="18"/>
      <c r="L986" s="25"/>
    </row>
    <row r="987" hidden="1" customHeight="1" spans="1:12">
      <c r="A987" s="14" t="str">
        <f t="shared" si="20"/>
        <v>0x000004FC</v>
      </c>
      <c r="B987" s="15">
        <f>SUM_HEX(C986:F986,B986,3)</f>
        <v>1276</v>
      </c>
      <c r="C987" s="16" t="s">
        <v>23</v>
      </c>
      <c r="D987" s="16"/>
      <c r="E987" s="16"/>
      <c r="F987" s="16"/>
      <c r="G987" s="46" t="s">
        <v>157</v>
      </c>
      <c r="H987" s="46" t="s">
        <v>326</v>
      </c>
      <c r="I987" s="24" t="s">
        <v>511</v>
      </c>
      <c r="J987" s="18"/>
      <c r="K987" s="18" t="s">
        <v>512</v>
      </c>
      <c r="L987" s="25" t="s">
        <v>333</v>
      </c>
    </row>
    <row r="988" hidden="1" customHeight="1" spans="1:12">
      <c r="A988" s="14" t="str">
        <f t="shared" si="20"/>
        <v>0x00000500</v>
      </c>
      <c r="B988" s="15">
        <f>SUM_HEX(C987:F987,B987,3)</f>
        <v>1280</v>
      </c>
      <c r="C988" s="16" t="s">
        <v>513</v>
      </c>
      <c r="D988" s="16"/>
      <c r="E988" s="16"/>
      <c r="F988" s="16"/>
      <c r="G988" s="47"/>
      <c r="H988" s="47"/>
      <c r="I988" s="18"/>
      <c r="J988" s="18"/>
      <c r="K988" s="18"/>
      <c r="L988" s="25"/>
    </row>
    <row r="989" hidden="1" customHeight="1" spans="1:12">
      <c r="A989" s="14" t="str">
        <f t="shared" si="20"/>
        <v>0x00000504</v>
      </c>
      <c r="B989" s="15">
        <f>SUM_HEX(C988:F988,B988,3)</f>
        <v>1284</v>
      </c>
      <c r="C989" s="16" t="s">
        <v>23</v>
      </c>
      <c r="D989" s="16" t="s">
        <v>23</v>
      </c>
      <c r="E989" s="16" t="s">
        <v>23</v>
      </c>
      <c r="F989" s="16"/>
      <c r="G989" s="47"/>
      <c r="H989" s="47"/>
      <c r="I989" s="18"/>
      <c r="J989" s="18"/>
      <c r="K989" s="18"/>
      <c r="L989" s="25"/>
    </row>
    <row r="990" hidden="1" customHeight="1" spans="1:12">
      <c r="A990" s="14" t="str">
        <f t="shared" si="20"/>
        <v>0x00000510</v>
      </c>
      <c r="B990" s="15">
        <f>SUM_HEX(C989:F989,B989,3)</f>
        <v>1296</v>
      </c>
      <c r="C990" s="16" t="s">
        <v>23</v>
      </c>
      <c r="D990" s="16" t="s">
        <v>23</v>
      </c>
      <c r="E990" s="16" t="s">
        <v>23</v>
      </c>
      <c r="F990" s="16"/>
      <c r="G990" s="47"/>
      <c r="H990" s="47"/>
      <c r="I990" s="18"/>
      <c r="J990" s="18"/>
      <c r="K990" s="18"/>
      <c r="L990" s="25"/>
    </row>
    <row r="991" hidden="1" customHeight="1" spans="1:12">
      <c r="A991" s="14" t="str">
        <f t="shared" si="20"/>
        <v>0x0000051C</v>
      </c>
      <c r="B991" s="15">
        <f>SUM_HEX(C990:F990,B990,3)</f>
        <v>1308</v>
      </c>
      <c r="C991" s="16" t="s">
        <v>274</v>
      </c>
      <c r="D991" s="16"/>
      <c r="E991" s="16"/>
      <c r="F991" s="16"/>
      <c r="G991" s="48"/>
      <c r="H991" s="48"/>
      <c r="I991" s="18"/>
      <c r="J991" s="18"/>
      <c r="K991" s="18"/>
      <c r="L991" s="25"/>
    </row>
    <row r="992" hidden="1" customHeight="1" spans="1:12">
      <c r="A992" s="14" t="str">
        <f t="shared" si="20"/>
        <v>0x00000520</v>
      </c>
      <c r="B992" s="15">
        <f>SUM_HEX(C991:F991,B991,3)</f>
        <v>1312</v>
      </c>
      <c r="C992" s="16" t="s">
        <v>23</v>
      </c>
      <c r="D992" s="16"/>
      <c r="E992" s="16"/>
      <c r="F992" s="16"/>
      <c r="G992" s="46" t="s">
        <v>157</v>
      </c>
      <c r="H992" s="46" t="s">
        <v>508</v>
      </c>
      <c r="I992" s="24" t="s">
        <v>514</v>
      </c>
      <c r="J992" s="18"/>
      <c r="K992" s="18"/>
      <c r="L992" s="25"/>
    </row>
    <row r="993" hidden="1" customHeight="1" spans="1:12">
      <c r="A993" s="14" t="str">
        <f t="shared" si="20"/>
        <v>0x00000524</v>
      </c>
      <c r="B993" s="15">
        <f>SUM_HEX(C992:F992,B992,3)</f>
        <v>1316</v>
      </c>
      <c r="C993" s="16" t="s">
        <v>515</v>
      </c>
      <c r="D993" s="16"/>
      <c r="E993" s="16"/>
      <c r="F993" s="16"/>
      <c r="G993" s="47"/>
      <c r="H993" s="47"/>
      <c r="I993" s="18"/>
      <c r="J993" s="18"/>
      <c r="K993" s="18"/>
      <c r="L993" s="25"/>
    </row>
    <row r="994" hidden="1" customHeight="1" spans="1:12">
      <c r="A994" s="14" t="str">
        <f t="shared" si="20"/>
        <v>0x00000528</v>
      </c>
      <c r="B994" s="15">
        <f>SUM_HEX(C993:F993,B993,3)</f>
        <v>1320</v>
      </c>
      <c r="C994" s="16" t="s">
        <v>148</v>
      </c>
      <c r="D994" s="16" t="s">
        <v>148</v>
      </c>
      <c r="E994" s="16"/>
      <c r="F994" s="16"/>
      <c r="G994" s="47"/>
      <c r="H994" s="47"/>
      <c r="I994" s="18"/>
      <c r="J994" s="18"/>
      <c r="K994" s="18"/>
      <c r="L994" s="25"/>
    </row>
    <row r="995" hidden="1" customHeight="1" spans="1:12">
      <c r="A995" s="14" t="str">
        <f t="shared" si="20"/>
        <v>0x00000530</v>
      </c>
      <c r="B995" s="15">
        <f>SUM_HEX(C994:F994,B994,3)</f>
        <v>1328</v>
      </c>
      <c r="C995" s="16" t="s">
        <v>148</v>
      </c>
      <c r="D995" s="16" t="s">
        <v>148</v>
      </c>
      <c r="E995" s="16"/>
      <c r="F995" s="16"/>
      <c r="G995" s="47"/>
      <c r="H995" s="47"/>
      <c r="I995" s="18"/>
      <c r="J995" s="18"/>
      <c r="K995" s="18"/>
      <c r="L995" s="25"/>
    </row>
    <row r="996" hidden="1" customHeight="1" spans="1:12">
      <c r="A996" s="14" t="str">
        <f t="shared" si="20"/>
        <v>0x00000538</v>
      </c>
      <c r="B996" s="15">
        <f>SUM_HEX(C995:F995,B995,3)</f>
        <v>1336</v>
      </c>
      <c r="C996" s="16" t="s">
        <v>274</v>
      </c>
      <c r="D996" s="16"/>
      <c r="E996" s="16"/>
      <c r="F996" s="16"/>
      <c r="G996" s="48"/>
      <c r="H996" s="48"/>
      <c r="I996" s="18"/>
      <c r="J996" s="18"/>
      <c r="K996" s="18"/>
      <c r="L996" s="25"/>
    </row>
    <row r="997" hidden="1" customHeight="1" spans="1:12">
      <c r="A997" s="14" t="str">
        <f t="shared" si="20"/>
        <v>0x0000053C</v>
      </c>
      <c r="B997" s="15">
        <f>SUM_HEX(C996:F996,B996,3)</f>
        <v>1340</v>
      </c>
      <c r="C997" s="16" t="s">
        <v>23</v>
      </c>
      <c r="D997" s="16" t="s">
        <v>23</v>
      </c>
      <c r="E997" s="16" t="s">
        <v>23</v>
      </c>
      <c r="F997" s="16"/>
      <c r="G997" s="18" t="s">
        <v>24</v>
      </c>
      <c r="H997" s="18" t="s">
        <v>537</v>
      </c>
      <c r="I997" s="24" t="s">
        <v>517</v>
      </c>
      <c r="J997" s="18"/>
      <c r="K997" s="18" t="s">
        <v>405</v>
      </c>
      <c r="L997" s="25" t="s">
        <v>280</v>
      </c>
    </row>
    <row r="998" hidden="1" customHeight="1" spans="1:12">
      <c r="A998" s="14" t="str">
        <f t="shared" si="20"/>
        <v>0x00000548</v>
      </c>
      <c r="B998" s="15">
        <f>SUM_HEX(C997:F997,B997,3)</f>
        <v>1352</v>
      </c>
      <c r="C998" s="16" t="s">
        <v>23</v>
      </c>
      <c r="D998" s="16"/>
      <c r="E998" s="16"/>
      <c r="F998" s="16"/>
      <c r="G998" s="18" t="s">
        <v>212</v>
      </c>
      <c r="H998" s="18"/>
      <c r="I998" s="24" t="s">
        <v>518</v>
      </c>
      <c r="J998" s="18"/>
      <c r="K998" s="18"/>
      <c r="L998" s="25"/>
    </row>
    <row r="999" hidden="1" customHeight="1" spans="1:12">
      <c r="A999" s="14" t="str">
        <f t="shared" si="20"/>
        <v>0x0000054C</v>
      </c>
      <c r="B999" s="15">
        <f>SUM_HEX(C998:F998,B998,3)</f>
        <v>1356</v>
      </c>
      <c r="C999" s="16" t="s">
        <v>29</v>
      </c>
      <c r="D999" s="16"/>
      <c r="E999" s="16"/>
      <c r="F999" s="16"/>
      <c r="G999" s="18" t="s">
        <v>15</v>
      </c>
      <c r="H999" s="18"/>
      <c r="I999" s="24" t="s">
        <v>519</v>
      </c>
      <c r="J999" s="18"/>
      <c r="K999" s="18" t="s">
        <v>520</v>
      </c>
      <c r="L999" s="25"/>
    </row>
    <row r="1000" hidden="1" customHeight="1" spans="1:12">
      <c r="A1000" s="14" t="str">
        <f t="shared" si="20"/>
        <v>0x00000550</v>
      </c>
      <c r="B1000" s="15">
        <f>SUM_HEX(C999:F999,B999,3)</f>
        <v>1360</v>
      </c>
      <c r="C1000" s="16" t="s">
        <v>23</v>
      </c>
      <c r="D1000" s="16"/>
      <c r="E1000" s="16"/>
      <c r="F1000" s="16"/>
      <c r="G1000" s="18" t="s">
        <v>15</v>
      </c>
      <c r="H1000" s="18"/>
      <c r="I1000" s="24" t="s">
        <v>521</v>
      </c>
      <c r="J1000" s="18"/>
      <c r="K1000" s="18" t="s">
        <v>520</v>
      </c>
      <c r="L1000" s="25"/>
    </row>
    <row r="1001" hidden="1" customHeight="1" spans="1:12">
      <c r="A1001" s="14" t="str">
        <f t="shared" si="20"/>
        <v>0x00000554</v>
      </c>
      <c r="B1001" s="15">
        <f>SUM_HEX(C1000:F1000,B1000,3)</f>
        <v>1364</v>
      </c>
      <c r="C1001" s="16" t="s">
        <v>23</v>
      </c>
      <c r="D1001" s="16"/>
      <c r="E1001" s="16"/>
      <c r="F1001" s="16"/>
      <c r="G1001" s="46" t="s">
        <v>157</v>
      </c>
      <c r="H1001" s="46" t="s">
        <v>212</v>
      </c>
      <c r="I1001" s="18" t="s">
        <v>522</v>
      </c>
      <c r="J1001" s="18"/>
      <c r="K1001" s="18"/>
      <c r="L1001" s="25"/>
    </row>
    <row r="1002" hidden="1" customHeight="1" spans="1:12">
      <c r="A1002" s="14" t="str">
        <f t="shared" si="20"/>
        <v>0x00000558</v>
      </c>
      <c r="B1002" s="15">
        <f>SUM_HEX(C1001:F1001,B1001,3)</f>
        <v>1368</v>
      </c>
      <c r="C1002" s="16" t="s">
        <v>523</v>
      </c>
      <c r="D1002" s="16"/>
      <c r="E1002" s="16"/>
      <c r="F1002" s="16"/>
      <c r="G1002" s="47"/>
      <c r="H1002" s="47"/>
      <c r="I1002" s="18"/>
      <c r="J1002" s="18"/>
      <c r="K1002" s="18"/>
      <c r="L1002" s="25"/>
    </row>
    <row r="1003" hidden="1" customHeight="1" spans="1:12">
      <c r="A1003" s="14" t="str">
        <f t="shared" si="20"/>
        <v>0x0000055C</v>
      </c>
      <c r="B1003" s="15">
        <f>SUM_HEX(C1002:F1002,B1002,3)</f>
        <v>1372</v>
      </c>
      <c r="C1003" s="16" t="s">
        <v>23</v>
      </c>
      <c r="D1003" s="16" t="s">
        <v>23</v>
      </c>
      <c r="E1003" s="16"/>
      <c r="F1003" s="16"/>
      <c r="G1003" s="47"/>
      <c r="H1003" s="47"/>
      <c r="I1003" s="18"/>
      <c r="J1003" s="18"/>
      <c r="K1003" s="18"/>
      <c r="L1003" s="25"/>
    </row>
    <row r="1004" hidden="1" customHeight="1" spans="1:12">
      <c r="A1004" s="14" t="str">
        <f t="shared" si="20"/>
        <v>0x00000564</v>
      </c>
      <c r="B1004" s="15">
        <f>SUM_HEX(C1003:F1003,B1003,3)</f>
        <v>1380</v>
      </c>
      <c r="C1004" s="16" t="s">
        <v>274</v>
      </c>
      <c r="D1004" s="16"/>
      <c r="E1004" s="16"/>
      <c r="F1004" s="16"/>
      <c r="G1004" s="48"/>
      <c r="H1004" s="48"/>
      <c r="I1004" s="18"/>
      <c r="J1004" s="18"/>
      <c r="K1004" s="18"/>
      <c r="L1004" s="25"/>
    </row>
    <row r="1005" hidden="1" customHeight="1" spans="1:12">
      <c r="A1005" s="14" t="str">
        <f t="shared" si="20"/>
        <v>0x00000568</v>
      </c>
      <c r="B1005" s="15">
        <f>SUM_HEX(C1004:F1004,B1004,3)</f>
        <v>1384</v>
      </c>
      <c r="C1005" s="16" t="s">
        <v>23</v>
      </c>
      <c r="D1005" s="16"/>
      <c r="E1005" s="16"/>
      <c r="F1005" s="16"/>
      <c r="G1005" s="46" t="s">
        <v>157</v>
      </c>
      <c r="H1005" s="46" t="s">
        <v>212</v>
      </c>
      <c r="I1005" s="18" t="s">
        <v>524</v>
      </c>
      <c r="J1005" s="18"/>
      <c r="K1005" s="18"/>
      <c r="L1005" s="25"/>
    </row>
    <row r="1006" hidden="1" customHeight="1" spans="1:12">
      <c r="A1006" s="14" t="str">
        <f t="shared" si="20"/>
        <v>0x0000056C</v>
      </c>
      <c r="B1006" s="15">
        <f>SUM_HEX(C1005:F1005,B1005,3)</f>
        <v>1388</v>
      </c>
      <c r="C1006" s="16" t="s">
        <v>525</v>
      </c>
      <c r="D1006" s="16"/>
      <c r="E1006" s="16"/>
      <c r="F1006" s="16"/>
      <c r="G1006" s="47"/>
      <c r="H1006" s="47"/>
      <c r="I1006" s="18"/>
      <c r="J1006" s="18"/>
      <c r="K1006" s="18"/>
      <c r="L1006" s="25"/>
    </row>
    <row r="1007" hidden="1" customHeight="1" spans="1:12">
      <c r="A1007" s="14" t="str">
        <f t="shared" si="20"/>
        <v>0x00000570</v>
      </c>
      <c r="B1007" s="15">
        <f>SUM_HEX(C1006:F1006,B1006,3)</f>
        <v>1392</v>
      </c>
      <c r="C1007" s="16" t="s">
        <v>148</v>
      </c>
      <c r="D1007" s="16" t="s">
        <v>23</v>
      </c>
      <c r="E1007" s="16"/>
      <c r="F1007" s="16"/>
      <c r="G1007" s="47"/>
      <c r="H1007" s="47"/>
      <c r="I1007" s="18"/>
      <c r="J1007" s="18"/>
      <c r="K1007" s="18"/>
      <c r="L1007" s="25"/>
    </row>
    <row r="1008" hidden="1" customHeight="1" spans="1:12">
      <c r="A1008" s="14" t="str">
        <f t="shared" si="20"/>
        <v>0x00000578</v>
      </c>
      <c r="B1008" s="15">
        <f>SUM_HEX(C1007:F1007,B1007,3)</f>
        <v>1400</v>
      </c>
      <c r="C1008" s="16" t="s">
        <v>274</v>
      </c>
      <c r="D1008" s="16"/>
      <c r="E1008" s="16"/>
      <c r="F1008" s="16"/>
      <c r="G1008" s="48"/>
      <c r="H1008" s="48"/>
      <c r="I1008" s="18"/>
      <c r="J1008" s="18"/>
      <c r="K1008" s="18"/>
      <c r="L1008" s="25"/>
    </row>
    <row r="1009" hidden="1" customHeight="1" spans="1:12">
      <c r="A1009" s="14" t="str">
        <f t="shared" si="20"/>
        <v>0x0000057C</v>
      </c>
      <c r="B1009" s="15">
        <f>SUM_HEX(C1008:F1008,B1008,3)</f>
        <v>1404</v>
      </c>
      <c r="C1009" s="16" t="s">
        <v>274</v>
      </c>
      <c r="D1009" s="16"/>
      <c r="E1009" s="16"/>
      <c r="F1009" s="16"/>
      <c r="G1009" s="18" t="s">
        <v>15</v>
      </c>
      <c r="H1009" s="18"/>
      <c r="I1009" s="24" t="s">
        <v>526</v>
      </c>
      <c r="J1009" s="18"/>
      <c r="K1009" s="18" t="s">
        <v>405</v>
      </c>
      <c r="L1009" s="25" t="s">
        <v>280</v>
      </c>
    </row>
    <row r="1010" hidden="1" customHeight="1" spans="1:12">
      <c r="A1010" s="14" t="str">
        <f t="shared" si="20"/>
        <v>0x00000580</v>
      </c>
      <c r="B1010" s="15">
        <f>SUM_HEX(C1009:F1009,B1009,3)</f>
        <v>1408</v>
      </c>
      <c r="C1010" s="16" t="s">
        <v>23</v>
      </c>
      <c r="D1010" s="16"/>
      <c r="E1010" s="16"/>
      <c r="F1010" s="16"/>
      <c r="G1010" s="18" t="s">
        <v>212</v>
      </c>
      <c r="H1010" s="18"/>
      <c r="I1010" s="24" t="s">
        <v>527</v>
      </c>
      <c r="J1010" s="18"/>
      <c r="K1010" s="18"/>
      <c r="L1010" s="25" t="s">
        <v>272</v>
      </c>
    </row>
    <row r="1011" hidden="1" customHeight="1" spans="1:12">
      <c r="A1011" s="14" t="str">
        <f t="shared" si="20"/>
        <v>0x00000584</v>
      </c>
      <c r="B1011" s="15">
        <f>SUM_HEX(C1010:F1010,B1010,3)</f>
        <v>1412</v>
      </c>
      <c r="C1011" s="16" t="s">
        <v>23</v>
      </c>
      <c r="D1011" s="16"/>
      <c r="E1011" s="16"/>
      <c r="F1011" s="16"/>
      <c r="G1011" s="46" t="s">
        <v>157</v>
      </c>
      <c r="H1011" s="46" t="s">
        <v>212</v>
      </c>
      <c r="I1011" s="18" t="s">
        <v>528</v>
      </c>
      <c r="J1011" s="18"/>
      <c r="K1011" s="18"/>
      <c r="L1011" s="25"/>
    </row>
    <row r="1012" hidden="1" customHeight="1" spans="1:12">
      <c r="A1012" s="14" t="str">
        <f t="shared" si="20"/>
        <v>0x00000588</v>
      </c>
      <c r="B1012" s="15">
        <f>SUM_HEX(C1011:F1011,B1011,3)</f>
        <v>1416</v>
      </c>
      <c r="C1012" s="16" t="s">
        <v>529</v>
      </c>
      <c r="D1012" s="16"/>
      <c r="E1012" s="16"/>
      <c r="F1012" s="16"/>
      <c r="G1012" s="47"/>
      <c r="H1012" s="47"/>
      <c r="I1012" s="18"/>
      <c r="J1012" s="18"/>
      <c r="K1012" s="18"/>
      <c r="L1012" s="25"/>
    </row>
    <row r="1013" hidden="1" customHeight="1" spans="1:12">
      <c r="A1013" s="14" t="str">
        <f t="shared" si="20"/>
        <v>0x0000058C</v>
      </c>
      <c r="B1013" s="15">
        <f>SUM_HEX(C1012:F1012,B1012,3)</f>
        <v>1420</v>
      </c>
      <c r="C1013" s="16" t="s">
        <v>23</v>
      </c>
      <c r="D1013" s="16" t="s">
        <v>23</v>
      </c>
      <c r="E1013" s="16"/>
      <c r="F1013" s="16"/>
      <c r="G1013" s="47"/>
      <c r="H1013" s="47"/>
      <c r="I1013" s="18"/>
      <c r="J1013" s="18"/>
      <c r="K1013" s="18"/>
      <c r="L1013" s="25"/>
    </row>
    <row r="1014" hidden="1" customHeight="1" spans="1:12">
      <c r="A1014" s="14" t="str">
        <f t="shared" si="20"/>
        <v>0x00000594</v>
      </c>
      <c r="B1014" s="15">
        <f>SUM_HEX(C1013:F1013,B1013,3)</f>
        <v>1428</v>
      </c>
      <c r="C1014" s="16" t="s">
        <v>274</v>
      </c>
      <c r="D1014" s="16"/>
      <c r="E1014" s="16"/>
      <c r="F1014" s="16"/>
      <c r="G1014" s="48"/>
      <c r="H1014" s="48"/>
      <c r="I1014" s="18"/>
      <c r="J1014" s="18"/>
      <c r="K1014" s="18"/>
      <c r="L1014" s="25"/>
    </row>
    <row r="1015" hidden="1" customHeight="1" spans="1:12">
      <c r="A1015" s="14" t="str">
        <f t="shared" si="20"/>
        <v>0x00000598</v>
      </c>
      <c r="B1015" s="15">
        <f>SUM_HEX(C1014:F1014,B1014,3)</f>
        <v>1432</v>
      </c>
      <c r="C1015" s="16" t="s">
        <v>274</v>
      </c>
      <c r="D1015" s="16"/>
      <c r="E1015" s="16"/>
      <c r="F1015" s="16"/>
      <c r="G1015" s="18" t="s">
        <v>15</v>
      </c>
      <c r="H1015" s="18"/>
      <c r="I1015" s="24" t="s">
        <v>530</v>
      </c>
      <c r="J1015" s="18"/>
      <c r="K1015" s="18" t="s">
        <v>405</v>
      </c>
      <c r="L1015" s="25" t="s">
        <v>280</v>
      </c>
    </row>
    <row r="1016" hidden="1" customHeight="1" spans="1:12">
      <c r="A1016" s="14" t="str">
        <f t="shared" si="20"/>
        <v>0x0000059C</v>
      </c>
      <c r="B1016" s="15">
        <f>SUM_HEX(C1015:F1015,B1015,3)</f>
        <v>1436</v>
      </c>
      <c r="C1016" s="16" t="s">
        <v>23</v>
      </c>
      <c r="D1016" s="16"/>
      <c r="E1016" s="16"/>
      <c r="F1016" s="16"/>
      <c r="G1016" s="18" t="s">
        <v>212</v>
      </c>
      <c r="H1016" s="18"/>
      <c r="I1016" s="24" t="s">
        <v>531</v>
      </c>
      <c r="J1016" s="18"/>
      <c r="K1016" s="18"/>
      <c r="L1016" s="25" t="s">
        <v>272</v>
      </c>
    </row>
    <row r="1017" hidden="1" customHeight="1" spans="1:12">
      <c r="A1017" s="14" t="str">
        <f t="shared" si="20"/>
        <v>0x000005A0</v>
      </c>
      <c r="B1017" s="15">
        <f>SUM_HEX(C1016:F1016,B1016,3)</f>
        <v>1440</v>
      </c>
      <c r="C1017" s="16" t="s">
        <v>23</v>
      </c>
      <c r="D1017" s="16" t="s">
        <v>23</v>
      </c>
      <c r="E1017" s="16" t="s">
        <v>23</v>
      </c>
      <c r="F1017" s="16"/>
      <c r="G1017" s="18" t="s">
        <v>24</v>
      </c>
      <c r="H1017" s="18" t="s">
        <v>538</v>
      </c>
      <c r="I1017" s="24" t="s">
        <v>533</v>
      </c>
      <c r="J1017" s="18"/>
      <c r="K1017" s="18"/>
      <c r="L1017" s="25"/>
    </row>
    <row r="1018" hidden="1" customHeight="1" spans="1:12">
      <c r="A1018" s="14" t="str">
        <f t="shared" si="20"/>
        <v>0x000005AC</v>
      </c>
      <c r="B1018" s="15">
        <f>SUM_HEX(C1017:F1017,B1017,3)</f>
        <v>1452</v>
      </c>
      <c r="C1018" s="16" t="s">
        <v>23</v>
      </c>
      <c r="D1018" s="16" t="s">
        <v>23</v>
      </c>
      <c r="E1018" s="16" t="s">
        <v>23</v>
      </c>
      <c r="F1018" s="16"/>
      <c r="G1018" s="18"/>
      <c r="H1018" s="18"/>
      <c r="I1018" s="24"/>
      <c r="J1018" s="18"/>
      <c r="K1018" s="18"/>
      <c r="L1018" s="25"/>
    </row>
    <row r="1019" customHeight="1" spans="1:12">
      <c r="A1019" s="14" t="str">
        <f t="shared" si="20"/>
        <v>0x000005B8</v>
      </c>
      <c r="B1019" s="15">
        <f>SUM_HEX(C1018:F1018,B1018,3)</f>
        <v>1464</v>
      </c>
      <c r="C1019" s="51" t="s">
        <v>23</v>
      </c>
      <c r="D1019" s="51"/>
      <c r="E1019" s="51"/>
      <c r="F1019" s="51"/>
      <c r="G1019" s="52"/>
      <c r="H1019" s="52"/>
      <c r="I1019" s="57"/>
      <c r="J1019" s="52"/>
      <c r="K1019" s="52"/>
      <c r="L1019" s="51"/>
    </row>
    <row r="1020" customHeight="1" spans="1:12">
      <c r="A1020" s="14" t="str">
        <f t="shared" si="20"/>
        <v>0x000005B8</v>
      </c>
      <c r="B1020" s="15">
        <f>SUM_HEX(C1019:F1019,B1019,3)</f>
        <v>1464</v>
      </c>
      <c r="C1020" s="51" t="s">
        <v>274</v>
      </c>
      <c r="D1020" s="51"/>
      <c r="E1020" s="51"/>
      <c r="F1020" s="51"/>
      <c r="G1020" s="52"/>
      <c r="H1020" s="52"/>
      <c r="I1020" s="57"/>
      <c r="J1020" s="52"/>
      <c r="K1020" s="52"/>
      <c r="L1020" s="51"/>
    </row>
    <row r="1022" s="4" customFormat="1" customHeight="1" spans="1:13">
      <c r="A1022" s="7" t="s">
        <v>136</v>
      </c>
      <c r="B1022" s="8" t="s">
        <v>27</v>
      </c>
      <c r="C1022" s="9" t="s">
        <v>540</v>
      </c>
      <c r="D1022" s="3"/>
      <c r="E1022" s="3"/>
      <c r="F1022" s="3"/>
      <c r="I1022" s="5"/>
      <c r="L1022" s="3"/>
      <c r="M1022" s="6"/>
    </row>
    <row r="1023" s="4" customFormat="1" customHeight="1" spans="1:13">
      <c r="A1023" s="10" t="s">
        <v>2</v>
      </c>
      <c r="B1023" s="11"/>
      <c r="C1023" s="12" t="s">
        <v>3</v>
      </c>
      <c r="D1023" s="12"/>
      <c r="E1023" s="12"/>
      <c r="F1023" s="12"/>
      <c r="G1023" s="13" t="s">
        <v>4</v>
      </c>
      <c r="H1023" s="13"/>
      <c r="I1023" s="20" t="s">
        <v>5</v>
      </c>
      <c r="J1023" s="13" t="s">
        <v>6</v>
      </c>
      <c r="K1023" s="13" t="s">
        <v>7</v>
      </c>
      <c r="L1023" s="21" t="s">
        <v>8</v>
      </c>
      <c r="M1023" s="6"/>
    </row>
    <row r="1024" s="4" customFormat="1" hidden="1" customHeight="1" spans="1:13">
      <c r="A1024" s="14" t="str">
        <f t="shared" ref="A1024:A1026" si="21">"0x"&amp;DEC2HEX(B1024,8)</f>
        <v>0x00000000</v>
      </c>
      <c r="B1024" s="15">
        <f>0</f>
        <v>0</v>
      </c>
      <c r="C1024" s="16" t="s">
        <v>29</v>
      </c>
      <c r="D1024" s="16"/>
      <c r="E1024" s="16"/>
      <c r="F1024" s="16"/>
      <c r="G1024" s="18" t="s">
        <v>15</v>
      </c>
      <c r="H1024" s="18"/>
      <c r="I1024" s="24" t="s">
        <v>279</v>
      </c>
      <c r="J1024" s="18"/>
      <c r="K1024" s="18" t="s">
        <v>21</v>
      </c>
      <c r="L1024" s="25" t="s">
        <v>280</v>
      </c>
      <c r="M1024" s="6"/>
    </row>
    <row r="1025" s="4" customFormat="1" hidden="1" customHeight="1" spans="1:13">
      <c r="A1025" s="14" t="str">
        <f t="shared" si="21"/>
        <v>0x00000004</v>
      </c>
      <c r="B1025" s="15">
        <f>SUM_HEX(C1024:F1024,B1024,3)</f>
        <v>4</v>
      </c>
      <c r="C1025" s="16" t="s">
        <v>22</v>
      </c>
      <c r="D1025" s="16"/>
      <c r="E1025" s="16"/>
      <c r="F1025" s="16"/>
      <c r="G1025" s="18" t="s">
        <v>15</v>
      </c>
      <c r="H1025" s="18"/>
      <c r="I1025" s="24" t="s">
        <v>281</v>
      </c>
      <c r="J1025" s="18"/>
      <c r="K1025" s="18" t="s">
        <v>21</v>
      </c>
      <c r="L1025" s="25" t="s">
        <v>280</v>
      </c>
      <c r="M1025" s="6"/>
    </row>
    <row r="1026" s="4" customFormat="1" hidden="1" customHeight="1" spans="1:13">
      <c r="A1026" s="14" t="str">
        <f t="shared" si="21"/>
        <v>0x00000008</v>
      </c>
      <c r="B1026" s="15">
        <f>SUM_HEX(C1025:F1025,B1025,3)</f>
        <v>8</v>
      </c>
      <c r="C1026" s="16" t="s">
        <v>282</v>
      </c>
      <c r="D1026" s="16"/>
      <c r="E1026" s="16"/>
      <c r="F1026" s="16"/>
      <c r="G1026" s="18" t="s">
        <v>33</v>
      </c>
      <c r="H1026" s="18" t="s">
        <v>54</v>
      </c>
      <c r="I1026" s="24" t="s">
        <v>283</v>
      </c>
      <c r="J1026" s="24" t="s">
        <v>284</v>
      </c>
      <c r="K1026" s="18"/>
      <c r="L1026" s="25"/>
      <c r="M1026" s="6"/>
    </row>
    <row r="1027" s="4" customFormat="1" hidden="1" customHeight="1" spans="1:13">
      <c r="A1027" s="14"/>
      <c r="B1027" s="15"/>
      <c r="C1027" s="16"/>
      <c r="D1027" s="16"/>
      <c r="E1027" s="16"/>
      <c r="F1027" s="16"/>
      <c r="G1027" s="18"/>
      <c r="H1027" s="18" t="s">
        <v>57</v>
      </c>
      <c r="I1027" s="24"/>
      <c r="J1027" s="24" t="s">
        <v>285</v>
      </c>
      <c r="K1027" s="18"/>
      <c r="L1027" s="25"/>
      <c r="M1027" s="6"/>
    </row>
    <row r="1028" s="4" customFormat="1" hidden="1" customHeight="1" spans="1:13">
      <c r="A1028" s="14"/>
      <c r="B1028" s="15"/>
      <c r="C1028" s="16"/>
      <c r="D1028" s="16"/>
      <c r="E1028" s="16"/>
      <c r="F1028" s="16"/>
      <c r="G1028" s="18"/>
      <c r="H1028" s="18" t="s">
        <v>58</v>
      </c>
      <c r="I1028" s="24"/>
      <c r="J1028" s="24" t="s">
        <v>286</v>
      </c>
      <c r="K1028" s="18"/>
      <c r="L1028" s="25"/>
      <c r="M1028" s="6"/>
    </row>
    <row r="1029" s="4" customFormat="1" hidden="1" customHeight="1" spans="1:13">
      <c r="A1029" s="14"/>
      <c r="B1029" s="15"/>
      <c r="C1029" s="16"/>
      <c r="D1029" s="16"/>
      <c r="E1029" s="16"/>
      <c r="F1029" s="16"/>
      <c r="G1029" s="18"/>
      <c r="H1029" s="18" t="s">
        <v>59</v>
      </c>
      <c r="I1029" s="24"/>
      <c r="J1029" s="24" t="s">
        <v>287</v>
      </c>
      <c r="K1029" s="18"/>
      <c r="L1029" s="25"/>
      <c r="M1029" s="6"/>
    </row>
    <row r="1030" s="4" customFormat="1" hidden="1" customHeight="1" spans="1:13">
      <c r="A1030" s="14" t="str">
        <f t="shared" ref="A1030:A1093" si="22">"0x"&amp;DEC2HEX(B1030,8)</f>
        <v>0x0000000C</v>
      </c>
      <c r="B1030" s="15">
        <f>SUM_HEX(C1026:F1029,B1026,3)</f>
        <v>12</v>
      </c>
      <c r="C1030" s="26" t="s">
        <v>23</v>
      </c>
      <c r="D1030" s="16"/>
      <c r="E1030" s="16"/>
      <c r="F1030" s="16"/>
      <c r="G1030" s="46" t="s">
        <v>157</v>
      </c>
      <c r="H1030" s="46" t="s">
        <v>212</v>
      </c>
      <c r="I1030" s="24" t="s">
        <v>288</v>
      </c>
      <c r="J1030" s="18"/>
      <c r="K1030" s="18" t="s">
        <v>289</v>
      </c>
      <c r="L1030" s="25" t="s">
        <v>272</v>
      </c>
      <c r="M1030" s="6"/>
    </row>
    <row r="1031" s="4" customFormat="1" hidden="1" customHeight="1" spans="1:13">
      <c r="A1031" s="14" t="str">
        <f t="shared" si="22"/>
        <v>0x00000010</v>
      </c>
      <c r="B1031" s="15">
        <f>SUM_HEX(C1030:F1030,B1030,3)</f>
        <v>16</v>
      </c>
      <c r="C1031" s="16" t="s">
        <v>290</v>
      </c>
      <c r="D1031" s="16"/>
      <c r="E1031" s="16"/>
      <c r="F1031" s="16"/>
      <c r="G1031" s="47"/>
      <c r="H1031" s="47"/>
      <c r="I1031" s="24"/>
      <c r="J1031" s="18"/>
      <c r="K1031" s="18"/>
      <c r="L1031" s="25"/>
      <c r="M1031" s="6"/>
    </row>
    <row r="1032" s="4" customFormat="1" hidden="1" customHeight="1" spans="1:13">
      <c r="A1032" s="14" t="str">
        <f t="shared" si="22"/>
        <v>0x00000014</v>
      </c>
      <c r="B1032" s="15">
        <f>SUM_HEX(C1031:F1031,B1031,3)</f>
        <v>20</v>
      </c>
      <c r="C1032" s="16" t="s">
        <v>148</v>
      </c>
      <c r="D1032" s="16" t="s">
        <v>23</v>
      </c>
      <c r="E1032" s="16"/>
      <c r="F1032" s="16"/>
      <c r="G1032" s="47"/>
      <c r="H1032" s="47"/>
      <c r="I1032" s="24"/>
      <c r="J1032" s="18"/>
      <c r="K1032" s="18"/>
      <c r="L1032" s="25"/>
      <c r="M1032" s="6"/>
    </row>
    <row r="1033" s="4" customFormat="1" hidden="1" customHeight="1" spans="1:13">
      <c r="A1033" s="14" t="str">
        <f t="shared" si="22"/>
        <v>0x0000001C</v>
      </c>
      <c r="B1033" s="15">
        <f>SUM_HEX(C1032:F1032,B1032,3)</f>
        <v>28</v>
      </c>
      <c r="C1033" s="16" t="s">
        <v>274</v>
      </c>
      <c r="D1033" s="16"/>
      <c r="E1033" s="16"/>
      <c r="F1033" s="16"/>
      <c r="G1033" s="48"/>
      <c r="H1033" s="48"/>
      <c r="I1033" s="24"/>
      <c r="J1033" s="18"/>
      <c r="K1033" s="18"/>
      <c r="L1033" s="25"/>
      <c r="M1033" s="6"/>
    </row>
    <row r="1034" s="4" customFormat="1" hidden="1" customHeight="1" spans="1:13">
      <c r="A1034" s="14" t="str">
        <f t="shared" si="22"/>
        <v>0x00000020</v>
      </c>
      <c r="B1034" s="15">
        <f>SUM_HEX(C1033:F1033,B1033,3)</f>
        <v>32</v>
      </c>
      <c r="C1034" s="16" t="s">
        <v>23</v>
      </c>
      <c r="D1034" s="16"/>
      <c r="E1034" s="16"/>
      <c r="F1034" s="16"/>
      <c r="G1034" s="46" t="s">
        <v>157</v>
      </c>
      <c r="H1034" s="46" t="s">
        <v>212</v>
      </c>
      <c r="I1034" s="24" t="s">
        <v>291</v>
      </c>
      <c r="J1034" s="18"/>
      <c r="K1034" s="18" t="s">
        <v>289</v>
      </c>
      <c r="L1034" s="25" t="s">
        <v>272</v>
      </c>
      <c r="M1034" s="6"/>
    </row>
    <row r="1035" s="4" customFormat="1" hidden="1" customHeight="1" spans="1:13">
      <c r="A1035" s="14" t="str">
        <f t="shared" si="22"/>
        <v>0x00000024</v>
      </c>
      <c r="B1035" s="15">
        <f>SUM_HEX(C1034:F1034,B1034,3)</f>
        <v>36</v>
      </c>
      <c r="C1035" s="16" t="s">
        <v>292</v>
      </c>
      <c r="D1035" s="16"/>
      <c r="E1035" s="16"/>
      <c r="F1035" s="16"/>
      <c r="G1035" s="47"/>
      <c r="H1035" s="47"/>
      <c r="I1035" s="24"/>
      <c r="J1035" s="18"/>
      <c r="K1035" s="18"/>
      <c r="L1035" s="25"/>
      <c r="M1035" s="6"/>
    </row>
    <row r="1036" s="4" customFormat="1" hidden="1" customHeight="1" spans="1:13">
      <c r="A1036" s="14" t="str">
        <f t="shared" si="22"/>
        <v>0x00000028</v>
      </c>
      <c r="B1036" s="15">
        <f>SUM_HEX(C1035:F1035,B1035,3)</f>
        <v>40</v>
      </c>
      <c r="C1036" s="16" t="s">
        <v>148</v>
      </c>
      <c r="D1036" s="16" t="s">
        <v>23</v>
      </c>
      <c r="E1036" s="16"/>
      <c r="F1036" s="16"/>
      <c r="G1036" s="47"/>
      <c r="H1036" s="47"/>
      <c r="I1036" s="24"/>
      <c r="J1036" s="18"/>
      <c r="K1036" s="18"/>
      <c r="L1036" s="25"/>
      <c r="M1036" s="6"/>
    </row>
    <row r="1037" s="4" customFormat="1" hidden="1" customHeight="1" spans="1:13">
      <c r="A1037" s="14" t="str">
        <f t="shared" si="22"/>
        <v>0x00000030</v>
      </c>
      <c r="B1037" s="15">
        <f>SUM_HEX(C1036:F1036,B1036,3)</f>
        <v>48</v>
      </c>
      <c r="C1037" s="16" t="s">
        <v>274</v>
      </c>
      <c r="D1037" s="16"/>
      <c r="E1037" s="16"/>
      <c r="F1037" s="16"/>
      <c r="G1037" s="48"/>
      <c r="H1037" s="48"/>
      <c r="I1037" s="24"/>
      <c r="J1037" s="18"/>
      <c r="K1037" s="18"/>
      <c r="L1037" s="25"/>
      <c r="M1037" s="6"/>
    </row>
    <row r="1038" s="4" customFormat="1" hidden="1" customHeight="1" spans="1:13">
      <c r="A1038" s="14" t="str">
        <f t="shared" si="22"/>
        <v>0x00000034</v>
      </c>
      <c r="B1038" s="15">
        <f>SUM_HEX(C1037:F1037,B1037,3)</f>
        <v>52</v>
      </c>
      <c r="C1038" s="16" t="s">
        <v>23</v>
      </c>
      <c r="D1038" s="16"/>
      <c r="E1038" s="16"/>
      <c r="F1038" s="16"/>
      <c r="G1038" s="46" t="s">
        <v>157</v>
      </c>
      <c r="H1038" s="46" t="s">
        <v>212</v>
      </c>
      <c r="I1038" s="24" t="s">
        <v>293</v>
      </c>
      <c r="J1038" s="18"/>
      <c r="K1038" s="18" t="s">
        <v>294</v>
      </c>
      <c r="L1038" s="25"/>
      <c r="M1038" s="6"/>
    </row>
    <row r="1039" s="4" customFormat="1" hidden="1" customHeight="1" spans="1:13">
      <c r="A1039" s="14" t="str">
        <f t="shared" si="22"/>
        <v>0x00000038</v>
      </c>
      <c r="B1039" s="15">
        <f>SUM_HEX(C1038:F1038,B1038,3)</f>
        <v>56</v>
      </c>
      <c r="C1039" s="16" t="s">
        <v>295</v>
      </c>
      <c r="D1039" s="16"/>
      <c r="E1039" s="16"/>
      <c r="F1039" s="16"/>
      <c r="G1039" s="47"/>
      <c r="H1039" s="47"/>
      <c r="I1039" s="24"/>
      <c r="J1039" s="18"/>
      <c r="K1039" s="18"/>
      <c r="L1039" s="25"/>
      <c r="M1039" s="6"/>
    </row>
    <row r="1040" s="4" customFormat="1" hidden="1" customHeight="1" spans="1:13">
      <c r="A1040" s="14" t="str">
        <f t="shared" si="22"/>
        <v>0x0000003C</v>
      </c>
      <c r="B1040" s="15">
        <f>SUM_HEX(C1039:F1039,B1039,3)</f>
        <v>60</v>
      </c>
      <c r="C1040" s="16" t="s">
        <v>23</v>
      </c>
      <c r="D1040" s="16" t="s">
        <v>23</v>
      </c>
      <c r="E1040" s="16"/>
      <c r="F1040" s="16"/>
      <c r="G1040" s="47"/>
      <c r="H1040" s="47"/>
      <c r="I1040" s="24"/>
      <c r="J1040" s="18"/>
      <c r="K1040" s="18"/>
      <c r="L1040" s="25"/>
      <c r="M1040" s="6"/>
    </row>
    <row r="1041" s="4" customFormat="1" hidden="1" customHeight="1" spans="1:13">
      <c r="A1041" s="14" t="str">
        <f t="shared" si="22"/>
        <v>0x00000044</v>
      </c>
      <c r="B1041" s="15">
        <f>SUM_HEX(C1040:F1040,B1040,3)</f>
        <v>68</v>
      </c>
      <c r="C1041" s="16" t="s">
        <v>274</v>
      </c>
      <c r="D1041" s="16"/>
      <c r="E1041" s="16"/>
      <c r="F1041" s="16"/>
      <c r="G1041" s="48"/>
      <c r="H1041" s="48"/>
      <c r="I1041" s="24"/>
      <c r="J1041" s="18"/>
      <c r="K1041" s="18"/>
      <c r="L1041" s="25"/>
      <c r="M1041" s="6"/>
    </row>
    <row r="1042" s="4" customFormat="1" hidden="1" customHeight="1" spans="1:13">
      <c r="A1042" s="14" t="str">
        <f t="shared" si="22"/>
        <v>0x00000048</v>
      </c>
      <c r="B1042" s="15">
        <f>SUM_HEX(C1041:F1041,B1041,3)</f>
        <v>72</v>
      </c>
      <c r="C1042" s="16" t="s">
        <v>23</v>
      </c>
      <c r="D1042" s="16"/>
      <c r="E1042" s="16"/>
      <c r="F1042" s="16"/>
      <c r="G1042" s="46" t="s">
        <v>157</v>
      </c>
      <c r="H1042" s="46" t="s">
        <v>212</v>
      </c>
      <c r="I1042" s="24" t="s">
        <v>296</v>
      </c>
      <c r="J1042" s="18"/>
      <c r="K1042" s="18" t="s">
        <v>294</v>
      </c>
      <c r="L1042" s="25"/>
      <c r="M1042" s="6"/>
    </row>
    <row r="1043" s="4" customFormat="1" hidden="1" customHeight="1" spans="1:13">
      <c r="A1043" s="14" t="str">
        <f t="shared" si="22"/>
        <v>0x0000004C</v>
      </c>
      <c r="B1043" s="15">
        <f>SUM_HEX(C1042:F1042,B1042,3)</f>
        <v>76</v>
      </c>
      <c r="C1043" s="16" t="s">
        <v>297</v>
      </c>
      <c r="D1043" s="16"/>
      <c r="E1043" s="16"/>
      <c r="F1043" s="16"/>
      <c r="G1043" s="47"/>
      <c r="H1043" s="47"/>
      <c r="I1043" s="24"/>
      <c r="J1043" s="18"/>
      <c r="K1043" s="18"/>
      <c r="L1043" s="25"/>
      <c r="M1043" s="6"/>
    </row>
    <row r="1044" s="4" customFormat="1" hidden="1" customHeight="1" spans="1:13">
      <c r="A1044" s="14" t="str">
        <f t="shared" si="22"/>
        <v>0x00000050</v>
      </c>
      <c r="B1044" s="15">
        <f>SUM_HEX(C1043:F1043,B1043,3)</f>
        <v>80</v>
      </c>
      <c r="C1044" s="16" t="s">
        <v>23</v>
      </c>
      <c r="D1044" s="16" t="s">
        <v>23</v>
      </c>
      <c r="E1044" s="16"/>
      <c r="F1044" s="16"/>
      <c r="G1044" s="47"/>
      <c r="H1044" s="47"/>
      <c r="I1044" s="24"/>
      <c r="J1044" s="18"/>
      <c r="K1044" s="18"/>
      <c r="L1044" s="25"/>
      <c r="M1044" s="6"/>
    </row>
    <row r="1045" s="4" customFormat="1" hidden="1" customHeight="1" spans="1:13">
      <c r="A1045" s="14" t="str">
        <f t="shared" si="22"/>
        <v>0x00000058</v>
      </c>
      <c r="B1045" s="15">
        <f>SUM_HEX(C1044:F1044,B1044,3)</f>
        <v>88</v>
      </c>
      <c r="C1045" s="16" t="s">
        <v>274</v>
      </c>
      <c r="D1045" s="16"/>
      <c r="E1045" s="16"/>
      <c r="F1045" s="16"/>
      <c r="G1045" s="48"/>
      <c r="H1045" s="48"/>
      <c r="I1045" s="24"/>
      <c r="J1045" s="18"/>
      <c r="K1045" s="18"/>
      <c r="L1045" s="25"/>
      <c r="M1045" s="6"/>
    </row>
    <row r="1046" s="4" customFormat="1" hidden="1" customHeight="1" spans="1:13">
      <c r="A1046" s="14" t="str">
        <f t="shared" si="22"/>
        <v>0x0000005C</v>
      </c>
      <c r="B1046" s="15">
        <f>SUM_HEX(C1045:F1045,B1045,3)</f>
        <v>92</v>
      </c>
      <c r="C1046" s="16" t="s">
        <v>23</v>
      </c>
      <c r="D1046" s="16"/>
      <c r="E1046" s="16"/>
      <c r="F1046" s="16"/>
      <c r="G1046" s="46" t="s">
        <v>157</v>
      </c>
      <c r="H1046" s="46" t="s">
        <v>212</v>
      </c>
      <c r="I1046" s="24" t="s">
        <v>298</v>
      </c>
      <c r="J1046" s="18"/>
      <c r="K1046" s="18" t="s">
        <v>299</v>
      </c>
      <c r="L1046" s="25" t="s">
        <v>300</v>
      </c>
      <c r="M1046" s="6"/>
    </row>
    <row r="1047" s="4" customFormat="1" hidden="1" customHeight="1" spans="1:13">
      <c r="A1047" s="14" t="str">
        <f t="shared" si="22"/>
        <v>0x00000060</v>
      </c>
      <c r="B1047" s="15">
        <f>SUM_HEX(C1046:F1046,B1046,3)</f>
        <v>96</v>
      </c>
      <c r="C1047" s="16" t="s">
        <v>301</v>
      </c>
      <c r="D1047" s="16"/>
      <c r="E1047" s="16"/>
      <c r="F1047" s="16"/>
      <c r="G1047" s="47"/>
      <c r="H1047" s="47"/>
      <c r="I1047" s="24"/>
      <c r="J1047" s="18"/>
      <c r="K1047" s="18"/>
      <c r="L1047" s="25"/>
      <c r="M1047" s="6"/>
    </row>
    <row r="1048" s="4" customFormat="1" hidden="1" customHeight="1" spans="1:13">
      <c r="A1048" s="14" t="str">
        <f t="shared" si="22"/>
        <v>0x00000064</v>
      </c>
      <c r="B1048" s="15">
        <f>SUM_HEX(C1047:F1047,B1047,3)</f>
        <v>100</v>
      </c>
      <c r="C1048" s="16" t="s">
        <v>23</v>
      </c>
      <c r="D1048" s="16" t="s">
        <v>23</v>
      </c>
      <c r="E1048" s="16"/>
      <c r="F1048" s="16"/>
      <c r="G1048" s="47"/>
      <c r="H1048" s="47"/>
      <c r="I1048" s="24"/>
      <c r="J1048" s="18"/>
      <c r="K1048" s="18"/>
      <c r="L1048" s="25"/>
      <c r="M1048" s="6"/>
    </row>
    <row r="1049" s="4" customFormat="1" hidden="1" customHeight="1" spans="1:13">
      <c r="A1049" s="14" t="str">
        <f t="shared" si="22"/>
        <v>0x0000006C</v>
      </c>
      <c r="B1049" s="15">
        <f>SUM_HEX(C1048:F1048,B1048,3)</f>
        <v>108</v>
      </c>
      <c r="C1049" s="16" t="s">
        <v>274</v>
      </c>
      <c r="D1049" s="16"/>
      <c r="E1049" s="16"/>
      <c r="F1049" s="16"/>
      <c r="G1049" s="48"/>
      <c r="H1049" s="48"/>
      <c r="I1049" s="24"/>
      <c r="J1049" s="18"/>
      <c r="K1049" s="18"/>
      <c r="L1049" s="25"/>
      <c r="M1049" s="6"/>
    </row>
    <row r="1050" s="4" customFormat="1" hidden="1" customHeight="1" spans="1:13">
      <c r="A1050" s="14" t="str">
        <f t="shared" si="22"/>
        <v>0x00000070</v>
      </c>
      <c r="B1050" s="15">
        <f>SUM_HEX(C1049:F1049,B1049,3)</f>
        <v>112</v>
      </c>
      <c r="C1050" s="16" t="s">
        <v>23</v>
      </c>
      <c r="D1050" s="16"/>
      <c r="E1050" s="16"/>
      <c r="F1050" s="16"/>
      <c r="G1050" s="46" t="s">
        <v>157</v>
      </c>
      <c r="H1050" s="46" t="s">
        <v>212</v>
      </c>
      <c r="I1050" s="24" t="s">
        <v>302</v>
      </c>
      <c r="J1050" s="18"/>
      <c r="K1050" s="18" t="s">
        <v>299</v>
      </c>
      <c r="L1050" s="25" t="s">
        <v>300</v>
      </c>
      <c r="M1050" s="6"/>
    </row>
    <row r="1051" s="4" customFormat="1" hidden="1" customHeight="1" spans="1:13">
      <c r="A1051" s="14" t="str">
        <f t="shared" si="22"/>
        <v>0x00000074</v>
      </c>
      <c r="B1051" s="15">
        <f>SUM_HEX(C1050:F1050,B1050,3)</f>
        <v>116</v>
      </c>
      <c r="C1051" s="16" t="s">
        <v>303</v>
      </c>
      <c r="D1051" s="16"/>
      <c r="E1051" s="16"/>
      <c r="F1051" s="16"/>
      <c r="G1051" s="47"/>
      <c r="H1051" s="47"/>
      <c r="I1051" s="24"/>
      <c r="J1051" s="18"/>
      <c r="K1051" s="18"/>
      <c r="L1051" s="25"/>
      <c r="M1051" s="6"/>
    </row>
    <row r="1052" s="4" customFormat="1" hidden="1" customHeight="1" spans="1:13">
      <c r="A1052" s="14" t="str">
        <f t="shared" si="22"/>
        <v>0x00000078</v>
      </c>
      <c r="B1052" s="15">
        <f>SUM_HEX(C1051:F1051,B1051,3)</f>
        <v>120</v>
      </c>
      <c r="C1052" s="16" t="s">
        <v>23</v>
      </c>
      <c r="D1052" s="16" t="s">
        <v>23</v>
      </c>
      <c r="E1052" s="16"/>
      <c r="F1052" s="16"/>
      <c r="G1052" s="47"/>
      <c r="H1052" s="47"/>
      <c r="I1052" s="24"/>
      <c r="J1052" s="18"/>
      <c r="K1052" s="18"/>
      <c r="L1052" s="25"/>
      <c r="M1052" s="6"/>
    </row>
    <row r="1053" s="4" customFormat="1" hidden="1" customHeight="1" spans="1:13">
      <c r="A1053" s="14" t="str">
        <f t="shared" si="22"/>
        <v>0x00000080</v>
      </c>
      <c r="B1053" s="15">
        <f>SUM_HEX(C1052:F1052,B1052,3)</f>
        <v>128</v>
      </c>
      <c r="C1053" s="16" t="s">
        <v>274</v>
      </c>
      <c r="D1053" s="16"/>
      <c r="E1053" s="16"/>
      <c r="F1053" s="16"/>
      <c r="G1053" s="48"/>
      <c r="H1053" s="48"/>
      <c r="I1053" s="24"/>
      <c r="J1053" s="18"/>
      <c r="K1053" s="18"/>
      <c r="L1053" s="25"/>
      <c r="M1053" s="6"/>
    </row>
    <row r="1054" s="4" customFormat="1" hidden="1" customHeight="1" spans="1:13">
      <c r="A1054" s="14" t="str">
        <f t="shared" si="22"/>
        <v>0x00000084</v>
      </c>
      <c r="B1054" s="15">
        <f>SUM_HEX(C1053:F1053,B1053,3)</f>
        <v>132</v>
      </c>
      <c r="C1054" s="16" t="s">
        <v>23</v>
      </c>
      <c r="D1054" s="16"/>
      <c r="E1054" s="16"/>
      <c r="F1054" s="16"/>
      <c r="G1054" s="46" t="s">
        <v>157</v>
      </c>
      <c r="H1054" s="46" t="s">
        <v>212</v>
      </c>
      <c r="I1054" s="24" t="s">
        <v>304</v>
      </c>
      <c r="J1054" s="18"/>
      <c r="K1054" s="18" t="s">
        <v>305</v>
      </c>
      <c r="L1054" s="25"/>
      <c r="M1054" s="6"/>
    </row>
    <row r="1055" s="4" customFormat="1" hidden="1" customHeight="1" spans="1:13">
      <c r="A1055" s="14" t="str">
        <f t="shared" si="22"/>
        <v>0x00000088</v>
      </c>
      <c r="B1055" s="15">
        <f>SUM_HEX(C1054:F1054,B1054,3)</f>
        <v>136</v>
      </c>
      <c r="C1055" s="16" t="s">
        <v>306</v>
      </c>
      <c r="D1055" s="16"/>
      <c r="E1055" s="16"/>
      <c r="F1055" s="16"/>
      <c r="G1055" s="47"/>
      <c r="H1055" s="47"/>
      <c r="I1055" s="24"/>
      <c r="J1055" s="18"/>
      <c r="K1055" s="18"/>
      <c r="L1055" s="25"/>
      <c r="M1055" s="6"/>
    </row>
    <row r="1056" s="4" customFormat="1" hidden="1" customHeight="1" spans="1:13">
      <c r="A1056" s="14" t="str">
        <f t="shared" si="22"/>
        <v>0x0000008C</v>
      </c>
      <c r="B1056" s="15">
        <f>SUM_HEX(C1055:F1055,B1055,3)</f>
        <v>140</v>
      </c>
      <c r="C1056" s="16" t="s">
        <v>307</v>
      </c>
      <c r="D1056" s="16" t="s">
        <v>23</v>
      </c>
      <c r="E1056" s="16"/>
      <c r="F1056" s="16"/>
      <c r="G1056" s="47"/>
      <c r="H1056" s="47"/>
      <c r="I1056" s="24"/>
      <c r="J1056" s="18"/>
      <c r="K1056" s="18"/>
      <c r="L1056" s="25"/>
      <c r="M1056" s="6"/>
    </row>
    <row r="1057" s="4" customFormat="1" hidden="1" customHeight="1" spans="1:13">
      <c r="A1057" s="14" t="str">
        <f t="shared" si="22"/>
        <v>0x00000094</v>
      </c>
      <c r="B1057" s="15">
        <f>SUM_HEX(C1056:F1056,B1056,3)</f>
        <v>148</v>
      </c>
      <c r="C1057" s="16" t="s">
        <v>274</v>
      </c>
      <c r="D1057" s="16"/>
      <c r="E1057" s="16"/>
      <c r="F1057" s="16"/>
      <c r="G1057" s="48"/>
      <c r="H1057" s="48"/>
      <c r="I1057" s="24"/>
      <c r="J1057" s="18"/>
      <c r="K1057" s="18"/>
      <c r="L1057" s="25"/>
      <c r="M1057" s="6"/>
    </row>
    <row r="1058" s="4" customFormat="1" hidden="1" customHeight="1" spans="1:13">
      <c r="A1058" s="14" t="str">
        <f t="shared" si="22"/>
        <v>0x00000098</v>
      </c>
      <c r="B1058" s="15">
        <f>SUM_HEX(C1057:F1057,B1057,3)</f>
        <v>152</v>
      </c>
      <c r="C1058" s="16" t="s">
        <v>23</v>
      </c>
      <c r="D1058" s="16"/>
      <c r="E1058" s="16"/>
      <c r="F1058" s="16"/>
      <c r="G1058" s="46" t="s">
        <v>157</v>
      </c>
      <c r="H1058" s="46" t="s">
        <v>212</v>
      </c>
      <c r="I1058" s="24" t="s">
        <v>308</v>
      </c>
      <c r="J1058" s="18"/>
      <c r="K1058" s="18" t="s">
        <v>305</v>
      </c>
      <c r="L1058" s="25"/>
      <c r="M1058" s="6"/>
    </row>
    <row r="1059" s="4" customFormat="1" hidden="1" customHeight="1" spans="1:13">
      <c r="A1059" s="14" t="str">
        <f t="shared" si="22"/>
        <v>0x0000009C</v>
      </c>
      <c r="B1059" s="15">
        <f>SUM_HEX(C1058:F1058,B1058,3)</f>
        <v>156</v>
      </c>
      <c r="C1059" s="16" t="s">
        <v>309</v>
      </c>
      <c r="D1059" s="16"/>
      <c r="E1059" s="16"/>
      <c r="F1059" s="16"/>
      <c r="G1059" s="47"/>
      <c r="H1059" s="47"/>
      <c r="I1059" s="24"/>
      <c r="J1059" s="18"/>
      <c r="K1059" s="18"/>
      <c r="L1059" s="25"/>
      <c r="M1059" s="6"/>
    </row>
    <row r="1060" s="4" customFormat="1" hidden="1" customHeight="1" spans="1:13">
      <c r="A1060" s="14" t="str">
        <f t="shared" si="22"/>
        <v>0x000000A0</v>
      </c>
      <c r="B1060" s="15">
        <f>SUM_HEX(C1059:F1059,B1059,3)</f>
        <v>160</v>
      </c>
      <c r="C1060" s="16" t="s">
        <v>307</v>
      </c>
      <c r="D1060" s="16" t="s">
        <v>23</v>
      </c>
      <c r="E1060" s="16"/>
      <c r="F1060" s="16"/>
      <c r="G1060" s="47"/>
      <c r="H1060" s="47"/>
      <c r="I1060" s="24"/>
      <c r="J1060" s="18"/>
      <c r="K1060" s="18"/>
      <c r="L1060" s="25"/>
      <c r="M1060" s="6"/>
    </row>
    <row r="1061" s="4" customFormat="1" hidden="1" customHeight="1" spans="1:13">
      <c r="A1061" s="14" t="str">
        <f t="shared" si="22"/>
        <v>0x000000A8</v>
      </c>
      <c r="B1061" s="15">
        <f>SUM_HEX(C1060:F1060,B1060,3)</f>
        <v>168</v>
      </c>
      <c r="C1061" s="16" t="s">
        <v>274</v>
      </c>
      <c r="D1061" s="16"/>
      <c r="E1061" s="16"/>
      <c r="F1061" s="16"/>
      <c r="G1061" s="48"/>
      <c r="H1061" s="48"/>
      <c r="I1061" s="24"/>
      <c r="J1061" s="18"/>
      <c r="K1061" s="18"/>
      <c r="L1061" s="25"/>
      <c r="M1061" s="6"/>
    </row>
    <row r="1062" s="4" customFormat="1" hidden="1" customHeight="1" spans="1:13">
      <c r="A1062" s="14" t="str">
        <f t="shared" si="22"/>
        <v>0x000000AC</v>
      </c>
      <c r="B1062" s="15">
        <f>SUM_HEX(C1061:F1061,B1061,3)</f>
        <v>172</v>
      </c>
      <c r="C1062" s="16" t="s">
        <v>23</v>
      </c>
      <c r="D1062" s="16"/>
      <c r="E1062" s="16"/>
      <c r="F1062" s="16"/>
      <c r="G1062" s="18" t="s">
        <v>212</v>
      </c>
      <c r="H1062" s="18"/>
      <c r="I1062" s="24" t="s">
        <v>310</v>
      </c>
      <c r="J1062" s="18"/>
      <c r="K1062" s="18" t="s">
        <v>311</v>
      </c>
      <c r="L1062" s="25"/>
      <c r="M1062" s="6"/>
    </row>
    <row r="1063" s="4" customFormat="1" hidden="1" customHeight="1" spans="1:13">
      <c r="A1063" s="14" t="str">
        <f t="shared" si="22"/>
        <v>0x000000B0</v>
      </c>
      <c r="B1063" s="15">
        <f>SUM_HEX(C1062:F1062,B1062,3)</f>
        <v>176</v>
      </c>
      <c r="C1063" s="16" t="s">
        <v>23</v>
      </c>
      <c r="D1063" s="16" t="s">
        <v>23</v>
      </c>
      <c r="E1063" s="16"/>
      <c r="F1063" s="16"/>
      <c r="G1063" s="17"/>
      <c r="H1063" s="17"/>
      <c r="I1063" s="22"/>
      <c r="J1063" s="17"/>
      <c r="K1063" s="17"/>
      <c r="L1063" s="23"/>
      <c r="M1063" s="6"/>
    </row>
    <row r="1064" s="4" customFormat="1" hidden="1" customHeight="1" spans="1:13">
      <c r="A1064" s="14" t="str">
        <f t="shared" si="22"/>
        <v>0x000000B8</v>
      </c>
      <c r="B1064" s="15">
        <f>SUM_HEX(C1063:F1063,B1063,3)</f>
        <v>184</v>
      </c>
      <c r="C1064" s="16" t="s">
        <v>312</v>
      </c>
      <c r="D1064" s="16"/>
      <c r="E1064" s="16"/>
      <c r="F1064" s="16"/>
      <c r="G1064" s="18" t="s">
        <v>212</v>
      </c>
      <c r="H1064" s="18"/>
      <c r="I1064" s="24" t="s">
        <v>313</v>
      </c>
      <c r="J1064" s="18"/>
      <c r="K1064" s="18" t="s">
        <v>314</v>
      </c>
      <c r="L1064" s="25" t="s">
        <v>315</v>
      </c>
      <c r="M1064" s="6"/>
    </row>
    <row r="1065" s="4" customFormat="1" hidden="1" customHeight="1" spans="1:13">
      <c r="A1065" s="14" t="str">
        <f t="shared" si="22"/>
        <v>0x000000BC</v>
      </c>
      <c r="B1065" s="15">
        <f>SUM_HEX(C1064:F1064,B1064,3)</f>
        <v>188</v>
      </c>
      <c r="C1065" s="16" t="s">
        <v>316</v>
      </c>
      <c r="D1065" s="16"/>
      <c r="E1065" s="16"/>
      <c r="F1065" s="16"/>
      <c r="G1065" s="18" t="s">
        <v>212</v>
      </c>
      <c r="H1065" s="18"/>
      <c r="I1065" s="49" t="s">
        <v>317</v>
      </c>
      <c r="J1065" s="18"/>
      <c r="K1065" s="18" t="s">
        <v>318</v>
      </c>
      <c r="L1065" s="25"/>
      <c r="M1065" s="6"/>
    </row>
    <row r="1066" s="4" customFormat="1" hidden="1" customHeight="1" spans="1:13">
      <c r="A1066" s="14" t="str">
        <f t="shared" si="22"/>
        <v>0x000000C0</v>
      </c>
      <c r="B1066" s="15">
        <f>SUM_HEX(C1065:F1065,B1065,3)</f>
        <v>192</v>
      </c>
      <c r="C1066" s="16" t="s">
        <v>316</v>
      </c>
      <c r="D1066" s="16"/>
      <c r="E1066" s="16"/>
      <c r="F1066" s="16"/>
      <c r="G1066" s="18" t="s">
        <v>212</v>
      </c>
      <c r="H1066" s="18"/>
      <c r="I1066" s="49" t="s">
        <v>319</v>
      </c>
      <c r="J1066" s="18"/>
      <c r="K1066" s="18" t="s">
        <v>318</v>
      </c>
      <c r="L1066" s="25"/>
      <c r="M1066" s="6"/>
    </row>
    <row r="1067" s="4" customFormat="1" hidden="1" customHeight="1" spans="1:13">
      <c r="A1067" s="14" t="str">
        <f t="shared" si="22"/>
        <v>0x000000C4</v>
      </c>
      <c r="B1067" s="15">
        <f>SUM_HEX(C1066:F1066,B1066,3)</f>
        <v>196</v>
      </c>
      <c r="C1067" s="16" t="s">
        <v>316</v>
      </c>
      <c r="D1067" s="16"/>
      <c r="E1067" s="16"/>
      <c r="F1067" s="16"/>
      <c r="G1067" s="18" t="s">
        <v>212</v>
      </c>
      <c r="H1067" s="18"/>
      <c r="I1067" s="49" t="s">
        <v>320</v>
      </c>
      <c r="J1067" s="18"/>
      <c r="K1067" s="18" t="s">
        <v>318</v>
      </c>
      <c r="L1067" s="25"/>
      <c r="M1067" s="6"/>
    </row>
    <row r="1068" s="4" customFormat="1" hidden="1" customHeight="1" spans="1:13">
      <c r="A1068" s="14" t="str">
        <f t="shared" si="22"/>
        <v>0x000000C8</v>
      </c>
      <c r="B1068" s="15">
        <f>SUM_HEX(C1067:F1067,B1067,3)</f>
        <v>200</v>
      </c>
      <c r="C1068" s="16" t="s">
        <v>316</v>
      </c>
      <c r="D1068" s="16"/>
      <c r="E1068" s="16"/>
      <c r="F1068" s="16"/>
      <c r="G1068" s="18" t="s">
        <v>212</v>
      </c>
      <c r="H1068" s="18"/>
      <c r="I1068" s="49" t="s">
        <v>321</v>
      </c>
      <c r="J1068" s="18"/>
      <c r="K1068" s="18" t="s">
        <v>318</v>
      </c>
      <c r="L1068" s="25"/>
      <c r="M1068" s="6"/>
    </row>
    <row r="1069" s="4" customFormat="1" hidden="1" customHeight="1" spans="1:13">
      <c r="A1069" s="14" t="str">
        <f t="shared" si="22"/>
        <v>0x000000CC</v>
      </c>
      <c r="B1069" s="15">
        <f>SUM_HEX(C1068:F1068,B1068,3)</f>
        <v>204</v>
      </c>
      <c r="C1069" s="16" t="s">
        <v>23</v>
      </c>
      <c r="D1069" s="16"/>
      <c r="E1069" s="16"/>
      <c r="F1069" s="16"/>
      <c r="G1069" s="18" t="s">
        <v>212</v>
      </c>
      <c r="H1069" s="18"/>
      <c r="I1069" s="49" t="s">
        <v>322</v>
      </c>
      <c r="J1069" s="18"/>
      <c r="K1069" s="18" t="s">
        <v>318</v>
      </c>
      <c r="L1069" s="25"/>
      <c r="M1069" s="6"/>
    </row>
    <row r="1070" s="4" customFormat="1" hidden="1" customHeight="1" spans="1:13">
      <c r="A1070" s="14" t="str">
        <f t="shared" si="22"/>
        <v>0x000000D0</v>
      </c>
      <c r="B1070" s="15">
        <f>SUM_HEX(C1069:F1069,B1069,3)</f>
        <v>208</v>
      </c>
      <c r="C1070" s="16" t="s">
        <v>23</v>
      </c>
      <c r="D1070" s="16"/>
      <c r="E1070" s="16"/>
      <c r="F1070" s="16"/>
      <c r="G1070" s="18" t="s">
        <v>212</v>
      </c>
      <c r="H1070" s="18"/>
      <c r="I1070" s="49" t="s">
        <v>323</v>
      </c>
      <c r="J1070" s="18"/>
      <c r="K1070" s="18" t="s">
        <v>318</v>
      </c>
      <c r="L1070" s="25"/>
      <c r="M1070" s="6"/>
    </row>
    <row r="1071" s="4" customFormat="1" hidden="1" customHeight="1" spans="1:13">
      <c r="A1071" s="14" t="str">
        <f t="shared" si="22"/>
        <v>0x000000D4</v>
      </c>
      <c r="B1071" s="15">
        <f>SUM_HEX(C1070:F1070,B1070,3)</f>
        <v>212</v>
      </c>
      <c r="C1071" s="16" t="s">
        <v>23</v>
      </c>
      <c r="D1071" s="16"/>
      <c r="E1071" s="16"/>
      <c r="F1071" s="16"/>
      <c r="G1071" s="18" t="s">
        <v>212</v>
      </c>
      <c r="H1071" s="18"/>
      <c r="I1071" s="49" t="s">
        <v>324</v>
      </c>
      <c r="J1071" s="18"/>
      <c r="K1071" s="18" t="s">
        <v>318</v>
      </c>
      <c r="L1071" s="25"/>
      <c r="M1071" s="6"/>
    </row>
    <row r="1072" s="4" customFormat="1" hidden="1" customHeight="1" spans="1:13">
      <c r="A1072" s="14" t="str">
        <f t="shared" si="22"/>
        <v>0x000000D8</v>
      </c>
      <c r="B1072" s="15">
        <f>SUM_HEX(C1071:F1071,B1071,3)</f>
        <v>216</v>
      </c>
      <c r="C1072" s="16" t="s">
        <v>23</v>
      </c>
      <c r="D1072" s="16"/>
      <c r="E1072" s="16"/>
      <c r="F1072" s="16"/>
      <c r="G1072" s="18" t="s">
        <v>212</v>
      </c>
      <c r="H1072" s="18"/>
      <c r="I1072" s="49" t="s">
        <v>325</v>
      </c>
      <c r="J1072" s="18"/>
      <c r="K1072" s="18" t="s">
        <v>318</v>
      </c>
      <c r="L1072" s="25"/>
      <c r="M1072" s="6"/>
    </row>
    <row r="1073" s="4" customFormat="1" hidden="1" customHeight="1" spans="1:13">
      <c r="A1073" s="14" t="str">
        <f t="shared" si="22"/>
        <v>0x000000DC</v>
      </c>
      <c r="B1073" s="15">
        <f>SUM_HEX(C1072:F1072,B1072,3)</f>
        <v>220</v>
      </c>
      <c r="C1073" s="16" t="s">
        <v>23</v>
      </c>
      <c r="D1073" s="16"/>
      <c r="E1073" s="16"/>
      <c r="F1073" s="16"/>
      <c r="G1073" s="46" t="s">
        <v>157</v>
      </c>
      <c r="H1073" s="46" t="s">
        <v>326</v>
      </c>
      <c r="I1073" s="24" t="s">
        <v>327</v>
      </c>
      <c r="J1073" s="18"/>
      <c r="K1073" s="18" t="s">
        <v>328</v>
      </c>
      <c r="L1073" s="25" t="s">
        <v>272</v>
      </c>
      <c r="M1073" s="6"/>
    </row>
    <row r="1074" s="4" customFormat="1" hidden="1" customHeight="1" spans="1:13">
      <c r="A1074" s="14" t="str">
        <f t="shared" si="22"/>
        <v>0x000000E0</v>
      </c>
      <c r="B1074" s="15">
        <f>SUM_HEX(C1073:F1073,B1073,3)</f>
        <v>224</v>
      </c>
      <c r="C1074" s="16" t="s">
        <v>329</v>
      </c>
      <c r="D1074" s="16"/>
      <c r="E1074" s="16"/>
      <c r="F1074" s="16"/>
      <c r="G1074" s="47"/>
      <c r="H1074" s="47"/>
      <c r="I1074" s="24"/>
      <c r="J1074" s="18"/>
      <c r="K1074" s="18"/>
      <c r="L1074" s="25"/>
      <c r="M1074" s="6"/>
    </row>
    <row r="1075" s="4" customFormat="1" hidden="1" customHeight="1" spans="1:13">
      <c r="A1075" s="14" t="str">
        <f t="shared" si="22"/>
        <v>0x000000E4</v>
      </c>
      <c r="B1075" s="15">
        <f>SUM_HEX(C1074:F1074,B1074,3)</f>
        <v>228</v>
      </c>
      <c r="C1075" s="16" t="s">
        <v>330</v>
      </c>
      <c r="D1075" s="16" t="s">
        <v>330</v>
      </c>
      <c r="E1075" s="16" t="s">
        <v>330</v>
      </c>
      <c r="F1075" s="16"/>
      <c r="G1075" s="47"/>
      <c r="H1075" s="47"/>
      <c r="I1075" s="24"/>
      <c r="J1075" s="18"/>
      <c r="K1075" s="18"/>
      <c r="L1075" s="25"/>
      <c r="M1075" s="6"/>
    </row>
    <row r="1076" s="4" customFormat="1" hidden="1" customHeight="1" spans="1:13">
      <c r="A1076" s="14" t="str">
        <f t="shared" si="22"/>
        <v>0x000000F0</v>
      </c>
      <c r="B1076" s="15">
        <f>SUM_HEX(C1075:F1075,B1075,3)</f>
        <v>240</v>
      </c>
      <c r="C1076" s="16" t="s">
        <v>23</v>
      </c>
      <c r="D1076" s="16" t="s">
        <v>23</v>
      </c>
      <c r="E1076" s="16" t="s">
        <v>23</v>
      </c>
      <c r="F1076" s="16"/>
      <c r="G1076" s="47"/>
      <c r="H1076" s="47"/>
      <c r="I1076" s="24"/>
      <c r="J1076" s="18"/>
      <c r="K1076" s="18"/>
      <c r="L1076" s="25"/>
      <c r="M1076" s="6"/>
    </row>
    <row r="1077" s="4" customFormat="1" hidden="1" customHeight="1" spans="1:13">
      <c r="A1077" s="14" t="str">
        <f t="shared" si="22"/>
        <v>0x000000FC</v>
      </c>
      <c r="B1077" s="15">
        <f>SUM_HEX(C1076:F1076,B1076,3)</f>
        <v>252</v>
      </c>
      <c r="C1077" s="16" t="s">
        <v>274</v>
      </c>
      <c r="D1077" s="16"/>
      <c r="E1077" s="16"/>
      <c r="F1077" s="16"/>
      <c r="G1077" s="48"/>
      <c r="H1077" s="48"/>
      <c r="I1077" s="24"/>
      <c r="J1077" s="18"/>
      <c r="K1077" s="18"/>
      <c r="L1077" s="25"/>
      <c r="M1077" s="6"/>
    </row>
    <row r="1078" s="4" customFormat="1" hidden="1" customHeight="1" spans="1:13">
      <c r="A1078" s="14" t="str">
        <f t="shared" si="22"/>
        <v>0x00000100</v>
      </c>
      <c r="B1078" s="15">
        <f>SUM_HEX(C1077:F1077,B1077,3)</f>
        <v>256</v>
      </c>
      <c r="C1078" s="16" t="s">
        <v>23</v>
      </c>
      <c r="D1078" s="16"/>
      <c r="E1078" s="16"/>
      <c r="F1078" s="16"/>
      <c r="G1078" s="46" t="s">
        <v>157</v>
      </c>
      <c r="H1078" s="46" t="s">
        <v>326</v>
      </c>
      <c r="I1078" s="24" t="s">
        <v>331</v>
      </c>
      <c r="J1078" s="18"/>
      <c r="K1078" s="18" t="s">
        <v>332</v>
      </c>
      <c r="L1078" s="25" t="s">
        <v>333</v>
      </c>
      <c r="M1078" s="6"/>
    </row>
    <row r="1079" s="4" customFormat="1" hidden="1" customHeight="1" spans="1:13">
      <c r="A1079" s="14" t="str">
        <f t="shared" si="22"/>
        <v>0x00000104</v>
      </c>
      <c r="B1079" s="15">
        <f>SUM_HEX(C1078:F1078,B1078,3)</f>
        <v>260</v>
      </c>
      <c r="C1079" s="16" t="s">
        <v>334</v>
      </c>
      <c r="D1079" s="16"/>
      <c r="E1079" s="16"/>
      <c r="F1079" s="16"/>
      <c r="G1079" s="47"/>
      <c r="H1079" s="47"/>
      <c r="I1079" s="24"/>
      <c r="J1079" s="18"/>
      <c r="K1079" s="18"/>
      <c r="L1079" s="25"/>
      <c r="M1079" s="6"/>
    </row>
    <row r="1080" s="4" customFormat="1" hidden="1" customHeight="1" spans="1:13">
      <c r="A1080" s="14" t="str">
        <f t="shared" si="22"/>
        <v>0x00000108</v>
      </c>
      <c r="B1080" s="15">
        <f>SUM_HEX(C1079:F1079,B1079,3)</f>
        <v>264</v>
      </c>
      <c r="C1080" s="16" t="s">
        <v>23</v>
      </c>
      <c r="D1080" s="16" t="s">
        <v>23</v>
      </c>
      <c r="E1080" s="16" t="s">
        <v>23</v>
      </c>
      <c r="F1080" s="16"/>
      <c r="G1080" s="47"/>
      <c r="H1080" s="47"/>
      <c r="I1080" s="24"/>
      <c r="J1080" s="18"/>
      <c r="K1080" s="18"/>
      <c r="L1080" s="25"/>
      <c r="M1080" s="6"/>
    </row>
    <row r="1081" s="4" customFormat="1" hidden="1" customHeight="1" spans="1:13">
      <c r="A1081" s="14" t="str">
        <f t="shared" si="22"/>
        <v>0x00000114</v>
      </c>
      <c r="B1081" s="15">
        <f>SUM_HEX(C1080:F1080,B1080,3)</f>
        <v>276</v>
      </c>
      <c r="C1081" s="16" t="s">
        <v>23</v>
      </c>
      <c r="D1081" s="16" t="s">
        <v>23</v>
      </c>
      <c r="E1081" s="16" t="s">
        <v>23</v>
      </c>
      <c r="F1081" s="16"/>
      <c r="G1081" s="47"/>
      <c r="H1081" s="47"/>
      <c r="I1081" s="24"/>
      <c r="J1081" s="18"/>
      <c r="K1081" s="18"/>
      <c r="L1081" s="25"/>
      <c r="M1081" s="6"/>
    </row>
    <row r="1082" s="4" customFormat="1" hidden="1" customHeight="1" spans="1:13">
      <c r="A1082" s="14" t="str">
        <f t="shared" si="22"/>
        <v>0x00000120</v>
      </c>
      <c r="B1082" s="15">
        <f>SUM_HEX(C1081:F1081,B1081,3)</f>
        <v>288</v>
      </c>
      <c r="C1082" s="16" t="s">
        <v>274</v>
      </c>
      <c r="D1082" s="16"/>
      <c r="E1082" s="16"/>
      <c r="F1082" s="16"/>
      <c r="G1082" s="48"/>
      <c r="H1082" s="48"/>
      <c r="I1082" s="24"/>
      <c r="J1082" s="18"/>
      <c r="K1082" s="18"/>
      <c r="L1082" s="25"/>
      <c r="M1082" s="6"/>
    </row>
    <row r="1083" s="4" customFormat="1" hidden="1" customHeight="1" spans="1:13">
      <c r="A1083" s="14" t="str">
        <f t="shared" si="22"/>
        <v>0x00000124</v>
      </c>
      <c r="B1083" s="15">
        <f>SUM_HEX(C1082:F1082,B1082,3)</f>
        <v>292</v>
      </c>
      <c r="C1083" s="16" t="s">
        <v>23</v>
      </c>
      <c r="D1083" s="16"/>
      <c r="E1083" s="16"/>
      <c r="F1083" s="16"/>
      <c r="G1083" s="46" t="s">
        <v>157</v>
      </c>
      <c r="H1083" s="46" t="s">
        <v>335</v>
      </c>
      <c r="I1083" s="24" t="s">
        <v>336</v>
      </c>
      <c r="J1083" s="18"/>
      <c r="K1083" s="18" t="s">
        <v>337</v>
      </c>
      <c r="L1083" s="25"/>
      <c r="M1083" s="6"/>
    </row>
    <row r="1084" s="4" customFormat="1" hidden="1" customHeight="1" spans="1:13">
      <c r="A1084" s="14" t="str">
        <f t="shared" si="22"/>
        <v>0x00000128</v>
      </c>
      <c r="B1084" s="15">
        <f>SUM_HEX(C1083:F1083,B1083,3)</f>
        <v>296</v>
      </c>
      <c r="C1084" s="16" t="s">
        <v>338</v>
      </c>
      <c r="D1084" s="16"/>
      <c r="E1084" s="16"/>
      <c r="F1084" s="16"/>
      <c r="G1084" s="47"/>
      <c r="H1084" s="47"/>
      <c r="I1084" s="24"/>
      <c r="J1084" s="18"/>
      <c r="K1084" s="18"/>
      <c r="L1084" s="25"/>
      <c r="M1084" s="6"/>
    </row>
    <row r="1085" s="4" customFormat="1" hidden="1" customHeight="1" spans="1:13">
      <c r="A1085" s="14" t="str">
        <f t="shared" si="22"/>
        <v>0x0000012C</v>
      </c>
      <c r="B1085" s="15">
        <f>SUM_HEX(C1084:F1084,B1084,3)</f>
        <v>300</v>
      </c>
      <c r="C1085" s="16" t="s">
        <v>274</v>
      </c>
      <c r="D1085" s="16" t="s">
        <v>23</v>
      </c>
      <c r="E1085" s="16"/>
      <c r="F1085" s="16"/>
      <c r="G1085" s="47"/>
      <c r="H1085" s="47"/>
      <c r="I1085" s="24"/>
      <c r="J1085" s="18"/>
      <c r="K1085" s="18"/>
      <c r="L1085" s="25"/>
      <c r="M1085" s="6"/>
    </row>
    <row r="1086" s="4" customFormat="1" hidden="1" customHeight="1" spans="1:13">
      <c r="A1086" s="14" t="str">
        <f t="shared" si="22"/>
        <v>0x00000134</v>
      </c>
      <c r="B1086" s="15">
        <f>SUM_HEX(C1085:F1085,B1085,3)</f>
        <v>308</v>
      </c>
      <c r="C1086" s="16" t="s">
        <v>274</v>
      </c>
      <c r="D1086" s="16"/>
      <c r="E1086" s="16"/>
      <c r="F1086" s="16"/>
      <c r="G1086" s="48"/>
      <c r="H1086" s="48"/>
      <c r="I1086" s="24"/>
      <c r="J1086" s="18"/>
      <c r="K1086" s="18"/>
      <c r="L1086" s="25"/>
      <c r="M1086" s="6"/>
    </row>
    <row r="1087" s="4" customFormat="1" hidden="1" customHeight="1" spans="1:13">
      <c r="A1087" s="14" t="str">
        <f t="shared" si="22"/>
        <v>0x00000138</v>
      </c>
      <c r="B1087" s="15">
        <f>SUM_HEX(C1086:F1086,B1086,3)</f>
        <v>312</v>
      </c>
      <c r="C1087" s="16" t="s">
        <v>23</v>
      </c>
      <c r="D1087" s="16"/>
      <c r="E1087" s="16"/>
      <c r="F1087" s="16"/>
      <c r="G1087" s="46" t="s">
        <v>157</v>
      </c>
      <c r="H1087" s="46" t="s">
        <v>335</v>
      </c>
      <c r="I1087" s="24" t="s">
        <v>339</v>
      </c>
      <c r="J1087" s="18"/>
      <c r="K1087" s="18" t="s">
        <v>337</v>
      </c>
      <c r="L1087" s="25"/>
      <c r="M1087" s="6"/>
    </row>
    <row r="1088" s="4" customFormat="1" hidden="1" customHeight="1" spans="1:13">
      <c r="A1088" s="14" t="str">
        <f t="shared" si="22"/>
        <v>0x0000013C</v>
      </c>
      <c r="B1088" s="15">
        <f>SUM_HEX(C1087:F1087,B1087,3)</f>
        <v>316</v>
      </c>
      <c r="C1088" s="16" t="s">
        <v>340</v>
      </c>
      <c r="D1088" s="16"/>
      <c r="E1088" s="16"/>
      <c r="F1088" s="16"/>
      <c r="G1088" s="47"/>
      <c r="H1088" s="47"/>
      <c r="I1088" s="24"/>
      <c r="J1088" s="18"/>
      <c r="K1088" s="18"/>
      <c r="L1088" s="25"/>
      <c r="M1088" s="6"/>
    </row>
    <row r="1089" s="4" customFormat="1" hidden="1" customHeight="1" spans="1:13">
      <c r="A1089" s="14" t="str">
        <f t="shared" si="22"/>
        <v>0x00000140</v>
      </c>
      <c r="B1089" s="15">
        <f>SUM_HEX(C1088:F1088,B1088,3)</f>
        <v>320</v>
      </c>
      <c r="C1089" s="16" t="s">
        <v>274</v>
      </c>
      <c r="D1089" s="16" t="s">
        <v>23</v>
      </c>
      <c r="E1089" s="16"/>
      <c r="F1089" s="16"/>
      <c r="G1089" s="47"/>
      <c r="H1089" s="47"/>
      <c r="I1089" s="24"/>
      <c r="J1089" s="18"/>
      <c r="K1089" s="18"/>
      <c r="L1089" s="25"/>
      <c r="M1089" s="6"/>
    </row>
    <row r="1090" s="4" customFormat="1" hidden="1" customHeight="1" spans="1:13">
      <c r="A1090" s="14" t="str">
        <f t="shared" si="22"/>
        <v>0x00000148</v>
      </c>
      <c r="B1090" s="15">
        <f>SUM_HEX(C1089:F1089,B1089,3)</f>
        <v>328</v>
      </c>
      <c r="C1090" s="16" t="s">
        <v>274</v>
      </c>
      <c r="D1090" s="16"/>
      <c r="E1090" s="16"/>
      <c r="F1090" s="16"/>
      <c r="G1090" s="48"/>
      <c r="H1090" s="48"/>
      <c r="I1090" s="24"/>
      <c r="J1090" s="18"/>
      <c r="K1090" s="18"/>
      <c r="L1090" s="25"/>
      <c r="M1090" s="6"/>
    </row>
    <row r="1091" s="4" customFormat="1" hidden="1" customHeight="1" spans="1:13">
      <c r="A1091" s="14" t="str">
        <f t="shared" si="22"/>
        <v>0x0000014C</v>
      </c>
      <c r="B1091" s="15">
        <f>SUM_HEX(C1090:F1090,B1090,3)</f>
        <v>332</v>
      </c>
      <c r="C1091" s="16" t="s">
        <v>23</v>
      </c>
      <c r="D1091" s="16"/>
      <c r="E1091" s="16"/>
      <c r="F1091" s="16"/>
      <c r="G1091" s="46" t="s">
        <v>157</v>
      </c>
      <c r="H1091" s="46" t="s">
        <v>335</v>
      </c>
      <c r="I1091" s="24" t="s">
        <v>341</v>
      </c>
      <c r="J1091" s="18"/>
      <c r="K1091" s="18" t="s">
        <v>337</v>
      </c>
      <c r="L1091" s="25"/>
      <c r="M1091" s="6"/>
    </row>
    <row r="1092" s="4" customFormat="1" hidden="1" customHeight="1" spans="1:13">
      <c r="A1092" s="14" t="str">
        <f t="shared" si="22"/>
        <v>0x00000150</v>
      </c>
      <c r="B1092" s="15">
        <f>SUM_HEX(C1091:F1091,B1091,3)</f>
        <v>336</v>
      </c>
      <c r="C1092" s="16" t="s">
        <v>342</v>
      </c>
      <c r="D1092" s="16"/>
      <c r="E1092" s="16"/>
      <c r="F1092" s="16"/>
      <c r="G1092" s="47"/>
      <c r="H1092" s="47"/>
      <c r="I1092" s="24"/>
      <c r="J1092" s="18"/>
      <c r="K1092" s="18"/>
      <c r="L1092" s="25"/>
      <c r="M1092" s="6"/>
    </row>
    <row r="1093" s="4" customFormat="1" hidden="1" customHeight="1" spans="1:13">
      <c r="A1093" s="14" t="str">
        <f t="shared" si="22"/>
        <v>0x00000154</v>
      </c>
      <c r="B1093" s="15">
        <f>SUM_HEX(C1092:F1092,B1092,3)</f>
        <v>340</v>
      </c>
      <c r="C1093" s="16" t="s">
        <v>274</v>
      </c>
      <c r="D1093" s="16" t="s">
        <v>23</v>
      </c>
      <c r="E1093" s="16"/>
      <c r="F1093" s="16"/>
      <c r="G1093" s="47"/>
      <c r="H1093" s="47"/>
      <c r="I1093" s="24"/>
      <c r="J1093" s="18"/>
      <c r="K1093" s="18"/>
      <c r="L1093" s="25"/>
      <c r="M1093" s="6"/>
    </row>
    <row r="1094" s="4" customFormat="1" hidden="1" customHeight="1" spans="1:13">
      <c r="A1094" s="14" t="str">
        <f t="shared" ref="A1094:A1157" si="23">"0x"&amp;DEC2HEX(B1094,8)</f>
        <v>0x0000015C</v>
      </c>
      <c r="B1094" s="15">
        <f>SUM_HEX(C1093:F1093,B1093,3)</f>
        <v>348</v>
      </c>
      <c r="C1094" s="16" t="s">
        <v>274</v>
      </c>
      <c r="D1094" s="16"/>
      <c r="E1094" s="16"/>
      <c r="F1094" s="16"/>
      <c r="G1094" s="48"/>
      <c r="H1094" s="48"/>
      <c r="I1094" s="24"/>
      <c r="J1094" s="18"/>
      <c r="K1094" s="18"/>
      <c r="L1094" s="25"/>
      <c r="M1094" s="6"/>
    </row>
    <row r="1095" s="4" customFormat="1" hidden="1" customHeight="1" spans="1:13">
      <c r="A1095" s="14" t="str">
        <f t="shared" si="23"/>
        <v>0x00000160</v>
      </c>
      <c r="B1095" s="15">
        <f>SUM_HEX(C1094:F1094,B1094,3)</f>
        <v>352</v>
      </c>
      <c r="C1095" s="16" t="s">
        <v>23</v>
      </c>
      <c r="D1095" s="16"/>
      <c r="E1095" s="16"/>
      <c r="F1095" s="16"/>
      <c r="G1095" s="18" t="s">
        <v>212</v>
      </c>
      <c r="H1095" s="18"/>
      <c r="I1095" s="24" t="s">
        <v>343</v>
      </c>
      <c r="J1095" s="50"/>
      <c r="K1095" s="18" t="s">
        <v>344</v>
      </c>
      <c r="L1095" s="25"/>
      <c r="M1095" s="6"/>
    </row>
    <row r="1096" s="4" customFormat="1" hidden="1" customHeight="1" spans="1:13">
      <c r="A1096" s="14" t="str">
        <f t="shared" si="23"/>
        <v>0x00000164</v>
      </c>
      <c r="B1096" s="15">
        <f>SUM_HEX(C1095:F1095,B1095,3)</f>
        <v>356</v>
      </c>
      <c r="C1096" s="16" t="s">
        <v>148</v>
      </c>
      <c r="D1096" s="16"/>
      <c r="E1096" s="16"/>
      <c r="F1096" s="16"/>
      <c r="G1096" s="18" t="s">
        <v>212</v>
      </c>
      <c r="H1096" s="18"/>
      <c r="I1096" s="24" t="s">
        <v>345</v>
      </c>
      <c r="J1096" s="50"/>
      <c r="K1096" s="18" t="s">
        <v>346</v>
      </c>
      <c r="L1096" s="25"/>
      <c r="M1096" s="6"/>
    </row>
    <row r="1097" s="4" customFormat="1" hidden="1" customHeight="1" spans="1:13">
      <c r="A1097" s="14" t="str">
        <f t="shared" si="23"/>
        <v>0x00000168</v>
      </c>
      <c r="B1097" s="15">
        <f>SUM_HEX(C1096:F1096,B1096,3)</f>
        <v>360</v>
      </c>
      <c r="C1097" s="16" t="s">
        <v>148</v>
      </c>
      <c r="D1097" s="16"/>
      <c r="E1097" s="16"/>
      <c r="F1097" s="16"/>
      <c r="G1097" s="18" t="s">
        <v>212</v>
      </c>
      <c r="H1097" s="18"/>
      <c r="I1097" s="24" t="s">
        <v>347</v>
      </c>
      <c r="J1097" s="50"/>
      <c r="K1097" s="18" t="s">
        <v>346</v>
      </c>
      <c r="L1097" s="25"/>
      <c r="M1097" s="6"/>
    </row>
    <row r="1098" s="4" customFormat="1" hidden="1" customHeight="1" spans="1:13">
      <c r="A1098" s="14" t="str">
        <f t="shared" si="23"/>
        <v>0x0000016C</v>
      </c>
      <c r="B1098" s="15">
        <f>SUM_HEX(C1097:F1097,B1097,3)</f>
        <v>364</v>
      </c>
      <c r="C1098" s="16" t="s">
        <v>23</v>
      </c>
      <c r="D1098" s="16"/>
      <c r="E1098" s="16"/>
      <c r="F1098" s="16"/>
      <c r="G1098" s="18" t="s">
        <v>212</v>
      </c>
      <c r="H1098" s="18"/>
      <c r="I1098" s="24" t="s">
        <v>348</v>
      </c>
      <c r="J1098" s="50"/>
      <c r="K1098" s="18"/>
      <c r="L1098" s="25"/>
      <c r="M1098" s="6"/>
    </row>
    <row r="1099" s="4" customFormat="1" hidden="1" customHeight="1" spans="1:13">
      <c r="A1099" s="14" t="str">
        <f t="shared" si="23"/>
        <v>0x00000170</v>
      </c>
      <c r="B1099" s="15">
        <f>SUM_HEX(C1098:F1098,B1098,3)</f>
        <v>368</v>
      </c>
      <c r="C1099" s="16" t="s">
        <v>23</v>
      </c>
      <c r="D1099" s="16"/>
      <c r="E1099" s="16"/>
      <c r="F1099" s="16"/>
      <c r="G1099" s="18" t="s">
        <v>33</v>
      </c>
      <c r="H1099" s="18"/>
      <c r="I1099" s="24" t="s">
        <v>349</v>
      </c>
      <c r="J1099" s="18"/>
      <c r="K1099" s="18"/>
      <c r="L1099" s="25"/>
      <c r="M1099" s="6"/>
    </row>
    <row r="1100" s="4" customFormat="1" hidden="1" customHeight="1" spans="1:13">
      <c r="A1100" s="14" t="str">
        <f t="shared" si="23"/>
        <v>0x00000174</v>
      </c>
      <c r="B1100" s="15">
        <f>SUM_HEX(C1099:F1099,B1099,3)</f>
        <v>372</v>
      </c>
      <c r="C1100" s="16" t="s">
        <v>23</v>
      </c>
      <c r="D1100" s="16"/>
      <c r="E1100" s="16"/>
      <c r="F1100" s="16"/>
      <c r="G1100" s="17"/>
      <c r="H1100" s="17"/>
      <c r="I1100" s="22"/>
      <c r="J1100" s="17"/>
      <c r="K1100" s="17"/>
      <c r="L1100" s="23"/>
      <c r="M1100" s="6"/>
    </row>
    <row r="1101" s="4" customFormat="1" hidden="1" customHeight="1" spans="1:13">
      <c r="A1101" s="14" t="str">
        <f t="shared" si="23"/>
        <v>0x00000178</v>
      </c>
      <c r="B1101" s="15">
        <f>SUM_HEX(C1100:F1100,B1100,3)</f>
        <v>376</v>
      </c>
      <c r="C1101" s="16" t="s">
        <v>23</v>
      </c>
      <c r="D1101" s="16"/>
      <c r="E1101" s="16"/>
      <c r="F1101" s="16"/>
      <c r="G1101" s="18" t="s">
        <v>212</v>
      </c>
      <c r="H1101" s="18"/>
      <c r="I1101" s="24" t="s">
        <v>350</v>
      </c>
      <c r="J1101" s="18"/>
      <c r="K1101" s="18"/>
      <c r="L1101" s="25" t="s">
        <v>272</v>
      </c>
      <c r="M1101" s="6"/>
    </row>
    <row r="1102" s="4" customFormat="1" hidden="1" customHeight="1" spans="1:13">
      <c r="A1102" s="14" t="str">
        <f t="shared" si="23"/>
        <v>0x0000017C</v>
      </c>
      <c r="B1102" s="15">
        <f>SUM_HEX(C1101:F1101,B1101,3)</f>
        <v>380</v>
      </c>
      <c r="C1102" s="16" t="s">
        <v>23</v>
      </c>
      <c r="D1102" s="16"/>
      <c r="E1102" s="16"/>
      <c r="F1102" s="16"/>
      <c r="G1102" s="18" t="s">
        <v>212</v>
      </c>
      <c r="H1102" s="18"/>
      <c r="I1102" s="24" t="s">
        <v>351</v>
      </c>
      <c r="J1102" s="18"/>
      <c r="K1102" s="18"/>
      <c r="L1102" s="25"/>
      <c r="M1102" s="6"/>
    </row>
    <row r="1103" s="4" customFormat="1" hidden="1" customHeight="1" spans="1:13">
      <c r="A1103" s="14" t="str">
        <f t="shared" si="23"/>
        <v>0x00000180</v>
      </c>
      <c r="B1103" s="15">
        <f>SUM_HEX(C1102:F1102,B1102,3)</f>
        <v>384</v>
      </c>
      <c r="C1103" s="16" t="s">
        <v>23</v>
      </c>
      <c r="D1103" s="16"/>
      <c r="E1103" s="16"/>
      <c r="F1103" s="16"/>
      <c r="G1103" s="18" t="s">
        <v>212</v>
      </c>
      <c r="H1103" s="18"/>
      <c r="I1103" s="24" t="s">
        <v>352</v>
      </c>
      <c r="J1103" s="18"/>
      <c r="K1103" s="18"/>
      <c r="L1103" s="25"/>
      <c r="M1103" s="6"/>
    </row>
    <row r="1104" s="4" customFormat="1" hidden="1" customHeight="1" spans="1:13">
      <c r="A1104" s="14" t="str">
        <f t="shared" si="23"/>
        <v>0x00000184</v>
      </c>
      <c r="B1104" s="15">
        <f>SUM_HEX(C1103:F1103,B1103,3)</f>
        <v>388</v>
      </c>
      <c r="C1104" s="16" t="s">
        <v>353</v>
      </c>
      <c r="D1104" s="16"/>
      <c r="E1104" s="16"/>
      <c r="F1104" s="16"/>
      <c r="G1104" s="18" t="s">
        <v>212</v>
      </c>
      <c r="H1104" s="18"/>
      <c r="I1104" s="24" t="s">
        <v>354</v>
      </c>
      <c r="J1104" s="18"/>
      <c r="K1104" s="18"/>
      <c r="L1104" s="25"/>
      <c r="M1104" s="6"/>
    </row>
    <row r="1105" s="4" customFormat="1" hidden="1" customHeight="1" spans="1:13">
      <c r="A1105" s="14" t="str">
        <f t="shared" si="23"/>
        <v>0x00000188</v>
      </c>
      <c r="B1105" s="15">
        <f>SUM_HEX(C1104:F1104,B1104,3)</f>
        <v>392</v>
      </c>
      <c r="C1105" s="16" t="s">
        <v>29</v>
      </c>
      <c r="D1105" s="16"/>
      <c r="E1105" s="16"/>
      <c r="F1105" s="16"/>
      <c r="G1105" s="18" t="s">
        <v>15</v>
      </c>
      <c r="H1105" s="18"/>
      <c r="I1105" s="24"/>
      <c r="J1105" s="18"/>
      <c r="K1105" s="18"/>
      <c r="L1105" s="25"/>
      <c r="M1105" s="6"/>
    </row>
    <row r="1106" s="4" customFormat="1" hidden="1" customHeight="1" spans="1:13">
      <c r="A1106" s="14" t="str">
        <f t="shared" si="23"/>
        <v>0x0000018C</v>
      </c>
      <c r="B1106" s="15">
        <f>SUM_HEX(C1105:F1105,B1105,3)</f>
        <v>396</v>
      </c>
      <c r="C1106" s="16" t="s">
        <v>355</v>
      </c>
      <c r="D1106" s="16"/>
      <c r="E1106" s="16"/>
      <c r="F1106" s="16"/>
      <c r="G1106" s="18" t="s">
        <v>15</v>
      </c>
      <c r="H1106" s="18"/>
      <c r="I1106" s="24" t="s">
        <v>356</v>
      </c>
      <c r="J1106" s="18"/>
      <c r="K1106" s="18"/>
      <c r="L1106" s="25"/>
      <c r="M1106" s="6"/>
    </row>
    <row r="1107" s="4" customFormat="1" hidden="1" customHeight="1" spans="1:13">
      <c r="A1107" s="14" t="str">
        <f t="shared" si="23"/>
        <v>0x00000190</v>
      </c>
      <c r="B1107" s="15">
        <f>SUM_HEX(C1106:F1106,B1106,3)</f>
        <v>400</v>
      </c>
      <c r="C1107" s="16" t="s">
        <v>23</v>
      </c>
      <c r="D1107" s="16"/>
      <c r="E1107" s="16"/>
      <c r="F1107" s="16"/>
      <c r="G1107" s="46" t="s">
        <v>157</v>
      </c>
      <c r="H1107" s="46" t="s">
        <v>212</v>
      </c>
      <c r="I1107" s="18" t="s">
        <v>357</v>
      </c>
      <c r="J1107" s="18"/>
      <c r="K1107" s="18"/>
      <c r="L1107" s="25"/>
      <c r="M1107" s="6"/>
    </row>
    <row r="1108" s="4" customFormat="1" hidden="1" customHeight="1" spans="1:13">
      <c r="A1108" s="14" t="str">
        <f t="shared" si="23"/>
        <v>0x00000194</v>
      </c>
      <c r="B1108" s="15">
        <f>SUM_HEX(C1107:F1107,B1107,3)</f>
        <v>404</v>
      </c>
      <c r="C1108" s="16" t="s">
        <v>358</v>
      </c>
      <c r="D1108" s="16"/>
      <c r="E1108" s="16"/>
      <c r="F1108" s="16"/>
      <c r="G1108" s="47"/>
      <c r="H1108" s="47"/>
      <c r="I1108" s="18"/>
      <c r="J1108" s="18"/>
      <c r="K1108" s="18"/>
      <c r="L1108" s="25"/>
      <c r="M1108" s="6"/>
    </row>
    <row r="1109" s="4" customFormat="1" hidden="1" customHeight="1" spans="1:13">
      <c r="A1109" s="14" t="str">
        <f t="shared" si="23"/>
        <v>0x00000198</v>
      </c>
      <c r="B1109" s="15">
        <f>SUM_HEX(C1108:F1108,B1108,3)</f>
        <v>408</v>
      </c>
      <c r="C1109" s="16" t="s">
        <v>359</v>
      </c>
      <c r="D1109" s="16" t="s">
        <v>23</v>
      </c>
      <c r="E1109" s="16"/>
      <c r="F1109" s="16"/>
      <c r="G1109" s="47"/>
      <c r="H1109" s="47"/>
      <c r="I1109" s="18"/>
      <c r="J1109" s="18"/>
      <c r="K1109" s="18"/>
      <c r="L1109" s="25"/>
      <c r="M1109" s="6"/>
    </row>
    <row r="1110" s="4" customFormat="1" hidden="1" customHeight="1" spans="1:13">
      <c r="A1110" s="14" t="str">
        <f t="shared" si="23"/>
        <v>0x000001A0</v>
      </c>
      <c r="B1110" s="15">
        <f>SUM_HEX(C1109:F1109,B1109,3)</f>
        <v>416</v>
      </c>
      <c r="C1110" s="16" t="s">
        <v>274</v>
      </c>
      <c r="D1110" s="16"/>
      <c r="E1110" s="16"/>
      <c r="F1110" s="16"/>
      <c r="G1110" s="48"/>
      <c r="H1110" s="48"/>
      <c r="I1110" s="18"/>
      <c r="J1110" s="18"/>
      <c r="K1110" s="18"/>
      <c r="L1110" s="25"/>
      <c r="M1110" s="6"/>
    </row>
    <row r="1111" s="4" customFormat="1" hidden="1" customHeight="1" spans="1:13">
      <c r="A1111" s="14" t="str">
        <f t="shared" si="23"/>
        <v>0x000001A4</v>
      </c>
      <c r="B1111" s="15">
        <f>SUM_HEX(C1110:F1110,B1110,3)</f>
        <v>420</v>
      </c>
      <c r="C1111" s="16" t="s">
        <v>23</v>
      </c>
      <c r="D1111" s="16"/>
      <c r="E1111" s="16"/>
      <c r="F1111" s="16"/>
      <c r="G1111" s="18" t="s">
        <v>15</v>
      </c>
      <c r="H1111" s="18"/>
      <c r="I1111" s="24" t="s">
        <v>360</v>
      </c>
      <c r="J1111" s="18"/>
      <c r="K1111" s="18"/>
      <c r="L1111" s="25"/>
      <c r="M1111" s="6"/>
    </row>
    <row r="1112" s="4" customFormat="1" hidden="1" customHeight="1" spans="1:13">
      <c r="A1112" s="14" t="str">
        <f t="shared" si="23"/>
        <v>0x000001A8</v>
      </c>
      <c r="B1112" s="15">
        <f>SUM_HEX(C1111:F1111,B1111,3)</f>
        <v>424</v>
      </c>
      <c r="C1112" s="16" t="s">
        <v>23</v>
      </c>
      <c r="D1112" s="16"/>
      <c r="E1112" s="16"/>
      <c r="F1112" s="16"/>
      <c r="G1112" s="46" t="s">
        <v>157</v>
      </c>
      <c r="H1112" s="46" t="s">
        <v>326</v>
      </c>
      <c r="I1112" s="24" t="s">
        <v>361</v>
      </c>
      <c r="J1112" s="18"/>
      <c r="K1112" s="18"/>
      <c r="L1112" s="25" t="s">
        <v>272</v>
      </c>
      <c r="M1112" s="6"/>
    </row>
    <row r="1113" s="4" customFormat="1" hidden="1" customHeight="1" spans="1:13">
      <c r="A1113" s="14" t="str">
        <f t="shared" si="23"/>
        <v>0x000001AC</v>
      </c>
      <c r="B1113" s="15">
        <f>SUM_HEX(C1112:F1112,B1112,3)</f>
        <v>428</v>
      </c>
      <c r="C1113" s="16" t="s">
        <v>362</v>
      </c>
      <c r="D1113" s="16"/>
      <c r="E1113" s="16"/>
      <c r="F1113" s="16"/>
      <c r="G1113" s="47"/>
      <c r="H1113" s="47"/>
      <c r="I1113" s="18"/>
      <c r="J1113" s="18"/>
      <c r="K1113" s="18"/>
      <c r="L1113" s="25"/>
      <c r="M1113" s="6"/>
    </row>
    <row r="1114" s="4" customFormat="1" hidden="1" customHeight="1" spans="1:13">
      <c r="A1114" s="14" t="str">
        <f t="shared" si="23"/>
        <v>0x000001B0</v>
      </c>
      <c r="B1114" s="15">
        <f>SUM_HEX(C1113:F1113,B1113,3)</f>
        <v>432</v>
      </c>
      <c r="C1114" s="16" t="s">
        <v>330</v>
      </c>
      <c r="D1114" s="16" t="s">
        <v>330</v>
      </c>
      <c r="E1114" s="16" t="s">
        <v>330</v>
      </c>
      <c r="F1114" s="16"/>
      <c r="G1114" s="47"/>
      <c r="H1114" s="47"/>
      <c r="I1114" s="18"/>
      <c r="J1114" s="18"/>
      <c r="K1114" s="18"/>
      <c r="L1114" s="25"/>
      <c r="M1114" s="6"/>
    </row>
    <row r="1115" s="4" customFormat="1" hidden="1" customHeight="1" spans="1:13">
      <c r="A1115" s="14" t="str">
        <f t="shared" si="23"/>
        <v>0x000001BC</v>
      </c>
      <c r="B1115" s="15">
        <f>SUM_HEX(C1114:F1114,B1114,3)</f>
        <v>444</v>
      </c>
      <c r="C1115" s="16" t="s">
        <v>23</v>
      </c>
      <c r="D1115" s="16" t="s">
        <v>23</v>
      </c>
      <c r="E1115" s="16" t="s">
        <v>23</v>
      </c>
      <c r="F1115" s="16"/>
      <c r="G1115" s="47"/>
      <c r="H1115" s="47"/>
      <c r="I1115" s="18"/>
      <c r="J1115" s="18"/>
      <c r="K1115" s="18"/>
      <c r="L1115" s="25"/>
      <c r="M1115" s="6"/>
    </row>
    <row r="1116" s="4" customFormat="1" hidden="1" customHeight="1" spans="1:13">
      <c r="A1116" s="14" t="str">
        <f t="shared" si="23"/>
        <v>0x000001C8</v>
      </c>
      <c r="B1116" s="15">
        <f>SUM_HEX(C1115:F1115,B1115,3)</f>
        <v>456</v>
      </c>
      <c r="C1116" s="16" t="s">
        <v>274</v>
      </c>
      <c r="D1116" s="16"/>
      <c r="E1116" s="16"/>
      <c r="F1116" s="16"/>
      <c r="G1116" s="48"/>
      <c r="H1116" s="48"/>
      <c r="I1116" s="18"/>
      <c r="J1116" s="18"/>
      <c r="K1116" s="18"/>
      <c r="L1116" s="25"/>
      <c r="M1116" s="6"/>
    </row>
    <row r="1117" s="4" customFormat="1" hidden="1" customHeight="1" spans="1:13">
      <c r="A1117" s="14" t="str">
        <f t="shared" si="23"/>
        <v>0x000001CC</v>
      </c>
      <c r="B1117" s="15">
        <f>SUM_HEX(C1116:F1116,B1116,3)</f>
        <v>460</v>
      </c>
      <c r="C1117" s="16" t="s">
        <v>23</v>
      </c>
      <c r="D1117" s="16"/>
      <c r="E1117" s="16"/>
      <c r="F1117" s="16"/>
      <c r="G1117" s="46" t="s">
        <v>157</v>
      </c>
      <c r="H1117" s="46" t="s">
        <v>326</v>
      </c>
      <c r="I1117" s="24" t="s">
        <v>363</v>
      </c>
      <c r="J1117" s="18"/>
      <c r="K1117" s="18"/>
      <c r="L1117" s="25" t="s">
        <v>272</v>
      </c>
      <c r="M1117" s="6"/>
    </row>
    <row r="1118" s="4" customFormat="1" hidden="1" customHeight="1" spans="1:13">
      <c r="A1118" s="14" t="str">
        <f t="shared" si="23"/>
        <v>0x000001D0</v>
      </c>
      <c r="B1118" s="15">
        <f>SUM_HEX(C1117:F1117,B1117,3)</f>
        <v>464</v>
      </c>
      <c r="C1118" s="16" t="s">
        <v>364</v>
      </c>
      <c r="D1118" s="16"/>
      <c r="E1118" s="16"/>
      <c r="F1118" s="16"/>
      <c r="G1118" s="47"/>
      <c r="H1118" s="47"/>
      <c r="I1118" s="18"/>
      <c r="J1118" s="18"/>
      <c r="K1118" s="18"/>
      <c r="L1118" s="25"/>
      <c r="M1118" s="6"/>
    </row>
    <row r="1119" s="4" customFormat="1" hidden="1" customHeight="1" spans="1:13">
      <c r="A1119" s="14" t="str">
        <f t="shared" si="23"/>
        <v>0x000001D4</v>
      </c>
      <c r="B1119" s="15">
        <f>SUM_HEX(C1118:F1118,B1118,3)</f>
        <v>468</v>
      </c>
      <c r="C1119" s="16" t="s">
        <v>330</v>
      </c>
      <c r="D1119" s="16" t="s">
        <v>330</v>
      </c>
      <c r="E1119" s="16" t="s">
        <v>330</v>
      </c>
      <c r="F1119" s="16"/>
      <c r="G1119" s="47"/>
      <c r="H1119" s="47"/>
      <c r="I1119" s="18"/>
      <c r="J1119" s="18"/>
      <c r="K1119" s="18"/>
      <c r="L1119" s="25"/>
      <c r="M1119" s="6"/>
    </row>
    <row r="1120" s="4" customFormat="1" hidden="1" customHeight="1" spans="1:13">
      <c r="A1120" s="14" t="str">
        <f t="shared" si="23"/>
        <v>0x000001E0</v>
      </c>
      <c r="B1120" s="15">
        <f>SUM_HEX(C1119:F1119,B1119,3)</f>
        <v>480</v>
      </c>
      <c r="C1120" s="16" t="s">
        <v>23</v>
      </c>
      <c r="D1120" s="16" t="s">
        <v>23</v>
      </c>
      <c r="E1120" s="16" t="s">
        <v>23</v>
      </c>
      <c r="F1120" s="16"/>
      <c r="G1120" s="47"/>
      <c r="H1120" s="47"/>
      <c r="I1120" s="18"/>
      <c r="J1120" s="18"/>
      <c r="K1120" s="18"/>
      <c r="L1120" s="25"/>
      <c r="M1120" s="6"/>
    </row>
    <row r="1121" s="4" customFormat="1" hidden="1" customHeight="1" spans="1:13">
      <c r="A1121" s="14" t="str">
        <f t="shared" si="23"/>
        <v>0x000001EC</v>
      </c>
      <c r="B1121" s="15">
        <f>SUM_HEX(C1120:F1120,B1120,3)</f>
        <v>492</v>
      </c>
      <c r="C1121" s="16" t="s">
        <v>274</v>
      </c>
      <c r="D1121" s="16"/>
      <c r="E1121" s="16"/>
      <c r="F1121" s="16"/>
      <c r="G1121" s="48"/>
      <c r="H1121" s="48"/>
      <c r="I1121" s="18"/>
      <c r="J1121" s="18"/>
      <c r="K1121" s="18"/>
      <c r="L1121" s="25"/>
      <c r="M1121" s="6"/>
    </row>
    <row r="1122" s="4" customFormat="1" hidden="1" customHeight="1" spans="1:13">
      <c r="A1122" s="14" t="str">
        <f t="shared" si="23"/>
        <v>0x000001F0</v>
      </c>
      <c r="B1122" s="15">
        <f>SUM_HEX(C1121:F1121,B1121,3)</f>
        <v>496</v>
      </c>
      <c r="C1122" s="16" t="s">
        <v>23</v>
      </c>
      <c r="D1122" s="16"/>
      <c r="E1122" s="16"/>
      <c r="F1122" s="16"/>
      <c r="G1122" s="46" t="s">
        <v>157</v>
      </c>
      <c r="H1122" s="46" t="s">
        <v>212</v>
      </c>
      <c r="I1122" s="18" t="s">
        <v>365</v>
      </c>
      <c r="J1122" s="18"/>
      <c r="K1122" s="18"/>
      <c r="L1122" s="25" t="s">
        <v>272</v>
      </c>
      <c r="M1122" s="6"/>
    </row>
    <row r="1123" s="4" customFormat="1" hidden="1" customHeight="1" spans="1:13">
      <c r="A1123" s="14" t="str">
        <f t="shared" si="23"/>
        <v>0x000001F4</v>
      </c>
      <c r="B1123" s="15">
        <f>SUM_HEX(C1122:F1122,B1122,3)</f>
        <v>500</v>
      </c>
      <c r="C1123" s="16" t="s">
        <v>366</v>
      </c>
      <c r="D1123" s="16"/>
      <c r="E1123" s="16"/>
      <c r="F1123" s="16"/>
      <c r="G1123" s="47"/>
      <c r="H1123" s="47"/>
      <c r="I1123" s="18"/>
      <c r="J1123" s="18"/>
      <c r="K1123" s="18"/>
      <c r="L1123" s="25"/>
      <c r="M1123" s="6"/>
    </row>
    <row r="1124" s="4" customFormat="1" hidden="1" customHeight="1" spans="1:13">
      <c r="A1124" s="14" t="str">
        <f t="shared" si="23"/>
        <v>0x000001F8</v>
      </c>
      <c r="B1124" s="15">
        <f>SUM_HEX(C1123:F1123,B1123,3)</f>
        <v>504</v>
      </c>
      <c r="C1124" s="16" t="s">
        <v>330</v>
      </c>
      <c r="D1124" s="16" t="s">
        <v>23</v>
      </c>
      <c r="E1124" s="16"/>
      <c r="F1124" s="16"/>
      <c r="G1124" s="47"/>
      <c r="H1124" s="47"/>
      <c r="I1124" s="18"/>
      <c r="J1124" s="18"/>
      <c r="K1124" s="18"/>
      <c r="L1124" s="25"/>
      <c r="M1124" s="6"/>
    </row>
    <row r="1125" s="4" customFormat="1" hidden="1" customHeight="1" spans="1:13">
      <c r="A1125" s="14" t="str">
        <f t="shared" si="23"/>
        <v>0x00000200</v>
      </c>
      <c r="B1125" s="15">
        <f>SUM_HEX(C1124:F1124,B1124,3)</f>
        <v>512</v>
      </c>
      <c r="C1125" s="16" t="s">
        <v>274</v>
      </c>
      <c r="D1125" s="16"/>
      <c r="E1125" s="16"/>
      <c r="F1125" s="16"/>
      <c r="G1125" s="48"/>
      <c r="H1125" s="48"/>
      <c r="I1125" s="18"/>
      <c r="J1125" s="18"/>
      <c r="K1125" s="18"/>
      <c r="L1125" s="25"/>
      <c r="M1125" s="6"/>
    </row>
    <row r="1126" s="4" customFormat="1" hidden="1" customHeight="1" spans="1:13">
      <c r="A1126" s="14" t="str">
        <f t="shared" si="23"/>
        <v>0x00000204</v>
      </c>
      <c r="B1126" s="15">
        <f>SUM_HEX(C1125:F1125,B1125,3)</f>
        <v>516</v>
      </c>
      <c r="C1126" s="16" t="s">
        <v>23</v>
      </c>
      <c r="D1126" s="16"/>
      <c r="E1126" s="16"/>
      <c r="F1126" s="16"/>
      <c r="G1126" s="46" t="s">
        <v>157</v>
      </c>
      <c r="H1126" s="46" t="s">
        <v>212</v>
      </c>
      <c r="I1126" s="18" t="s">
        <v>367</v>
      </c>
      <c r="J1126" s="18"/>
      <c r="K1126" s="18"/>
      <c r="L1126" s="25" t="s">
        <v>272</v>
      </c>
      <c r="M1126" s="6"/>
    </row>
    <row r="1127" s="4" customFormat="1" hidden="1" customHeight="1" spans="1:13">
      <c r="A1127" s="14" t="str">
        <f t="shared" si="23"/>
        <v>0x00000208</v>
      </c>
      <c r="B1127" s="15">
        <f>SUM_HEX(C1126:F1126,B1126,3)</f>
        <v>520</v>
      </c>
      <c r="C1127" s="16" t="s">
        <v>368</v>
      </c>
      <c r="D1127" s="16"/>
      <c r="E1127" s="16"/>
      <c r="F1127" s="16"/>
      <c r="G1127" s="47"/>
      <c r="H1127" s="47"/>
      <c r="I1127" s="18"/>
      <c r="J1127" s="18"/>
      <c r="K1127" s="18"/>
      <c r="L1127" s="25"/>
      <c r="M1127" s="6"/>
    </row>
    <row r="1128" s="4" customFormat="1" hidden="1" customHeight="1" spans="1:13">
      <c r="A1128" s="14" t="str">
        <f t="shared" si="23"/>
        <v>0x0000020C</v>
      </c>
      <c r="B1128" s="15">
        <f>SUM_HEX(C1127:F1127,B1127,3)</f>
        <v>524</v>
      </c>
      <c r="C1128" s="16" t="s">
        <v>330</v>
      </c>
      <c r="D1128" s="16" t="s">
        <v>23</v>
      </c>
      <c r="E1128" s="16"/>
      <c r="F1128" s="16"/>
      <c r="G1128" s="47"/>
      <c r="H1128" s="47"/>
      <c r="I1128" s="18"/>
      <c r="J1128" s="18"/>
      <c r="K1128" s="18"/>
      <c r="L1128" s="25"/>
      <c r="M1128" s="6"/>
    </row>
    <row r="1129" s="4" customFormat="1" hidden="1" customHeight="1" spans="1:13">
      <c r="A1129" s="14" t="str">
        <f t="shared" si="23"/>
        <v>0x00000214</v>
      </c>
      <c r="B1129" s="15">
        <f>SUM_HEX(C1128:F1128,B1128,3)</f>
        <v>532</v>
      </c>
      <c r="C1129" s="16" t="s">
        <v>274</v>
      </c>
      <c r="D1129" s="16"/>
      <c r="E1129" s="16"/>
      <c r="F1129" s="16"/>
      <c r="G1129" s="48"/>
      <c r="H1129" s="48"/>
      <c r="I1129" s="18"/>
      <c r="J1129" s="18"/>
      <c r="K1129" s="18"/>
      <c r="L1129" s="25"/>
      <c r="M1129" s="6"/>
    </row>
    <row r="1130" s="4" customFormat="1" hidden="1" customHeight="1" spans="1:13">
      <c r="A1130" s="14" t="str">
        <f t="shared" si="23"/>
        <v>0x00000218</v>
      </c>
      <c r="B1130" s="15">
        <f>SUM_HEX(C1129:F1129,B1129,3)</f>
        <v>536</v>
      </c>
      <c r="C1130" s="16" t="s">
        <v>23</v>
      </c>
      <c r="D1130" s="16" t="s">
        <v>23</v>
      </c>
      <c r="E1130" s="16" t="s">
        <v>23</v>
      </c>
      <c r="F1130" s="16"/>
      <c r="G1130" s="18" t="s">
        <v>24</v>
      </c>
      <c r="H1130" s="18" t="s">
        <v>536</v>
      </c>
      <c r="I1130" s="24" t="s">
        <v>370</v>
      </c>
      <c r="J1130" s="18"/>
      <c r="K1130" s="18"/>
      <c r="L1130" s="25"/>
      <c r="M1130" s="6"/>
    </row>
    <row r="1131" s="4" customFormat="1" hidden="1" customHeight="1" spans="1:13">
      <c r="A1131" s="14" t="str">
        <f t="shared" si="23"/>
        <v>0x00000224</v>
      </c>
      <c r="B1131" s="15">
        <f>SUM_HEX(C1130:F1130,B1130,3)</f>
        <v>548</v>
      </c>
      <c r="C1131" s="16" t="s">
        <v>23</v>
      </c>
      <c r="D1131" s="16"/>
      <c r="E1131" s="16"/>
      <c r="F1131" s="16"/>
      <c r="G1131" s="18" t="s">
        <v>15</v>
      </c>
      <c r="H1131" s="18"/>
      <c r="I1131" s="24" t="s">
        <v>371</v>
      </c>
      <c r="J1131" s="18"/>
      <c r="K1131" s="18" t="s">
        <v>372</v>
      </c>
      <c r="L1131" s="25"/>
      <c r="M1131" s="6"/>
    </row>
    <row r="1132" s="4" customFormat="1" hidden="1" customHeight="1" spans="1:13">
      <c r="A1132" s="14" t="str">
        <f t="shared" si="23"/>
        <v>0x00000228</v>
      </c>
      <c r="B1132" s="15">
        <f>SUM_HEX(C1131:F1131,B1131,3)</f>
        <v>552</v>
      </c>
      <c r="C1132" s="16" t="s">
        <v>23</v>
      </c>
      <c r="D1132" s="16"/>
      <c r="E1132" s="16"/>
      <c r="F1132" s="16"/>
      <c r="G1132" s="18" t="s">
        <v>15</v>
      </c>
      <c r="H1132" s="18"/>
      <c r="I1132" s="24" t="s">
        <v>373</v>
      </c>
      <c r="J1132" s="18"/>
      <c r="K1132" s="18" t="s">
        <v>318</v>
      </c>
      <c r="L1132" s="25" t="s">
        <v>374</v>
      </c>
      <c r="M1132" s="6"/>
    </row>
    <row r="1133" s="4" customFormat="1" hidden="1" customHeight="1" spans="1:13">
      <c r="A1133" s="14" t="str">
        <f t="shared" si="23"/>
        <v>0x0000022C</v>
      </c>
      <c r="B1133" s="15">
        <f>SUM_HEX(C1132:F1132,B1132,3)</f>
        <v>556</v>
      </c>
      <c r="C1133" s="16" t="s">
        <v>23</v>
      </c>
      <c r="D1133" s="16"/>
      <c r="E1133" s="16"/>
      <c r="F1133" s="16"/>
      <c r="G1133" s="46" t="s">
        <v>157</v>
      </c>
      <c r="H1133" s="46" t="s">
        <v>326</v>
      </c>
      <c r="I1133" s="24" t="s">
        <v>375</v>
      </c>
      <c r="J1133" s="18"/>
      <c r="K1133" s="18" t="s">
        <v>328</v>
      </c>
      <c r="L1133" s="25" t="s">
        <v>272</v>
      </c>
      <c r="M1133" s="6"/>
    </row>
    <row r="1134" s="4" customFormat="1" hidden="1" customHeight="1" spans="1:13">
      <c r="A1134" s="14" t="str">
        <f t="shared" si="23"/>
        <v>0x00000230</v>
      </c>
      <c r="B1134" s="15">
        <f>SUM_HEX(C1133:F1133,B1133,3)</f>
        <v>560</v>
      </c>
      <c r="C1134" s="16" t="s">
        <v>376</v>
      </c>
      <c r="D1134" s="16"/>
      <c r="E1134" s="16"/>
      <c r="F1134" s="16"/>
      <c r="G1134" s="47"/>
      <c r="H1134" s="47"/>
      <c r="I1134" s="18"/>
      <c r="J1134" s="18"/>
      <c r="K1134" s="18"/>
      <c r="L1134" s="25"/>
      <c r="M1134" s="6"/>
    </row>
    <row r="1135" s="4" customFormat="1" hidden="1" customHeight="1" spans="1:13">
      <c r="A1135" s="14" t="str">
        <f t="shared" si="23"/>
        <v>0x00000234</v>
      </c>
      <c r="B1135" s="15">
        <f>SUM_HEX(C1134:F1134,B1134,3)</f>
        <v>564</v>
      </c>
      <c r="C1135" s="16" t="s">
        <v>330</v>
      </c>
      <c r="D1135" s="16" t="s">
        <v>330</v>
      </c>
      <c r="E1135" s="16" t="s">
        <v>330</v>
      </c>
      <c r="F1135" s="16"/>
      <c r="G1135" s="47"/>
      <c r="H1135" s="47"/>
      <c r="I1135" s="18"/>
      <c r="J1135" s="18"/>
      <c r="K1135" s="18"/>
      <c r="L1135" s="25"/>
      <c r="M1135" s="6"/>
    </row>
    <row r="1136" s="4" customFormat="1" hidden="1" customHeight="1" spans="1:13">
      <c r="A1136" s="14" t="str">
        <f t="shared" si="23"/>
        <v>0x00000240</v>
      </c>
      <c r="B1136" s="15">
        <f>SUM_HEX(C1135:F1135,B1135,3)</f>
        <v>576</v>
      </c>
      <c r="C1136" s="16" t="s">
        <v>23</v>
      </c>
      <c r="D1136" s="16" t="s">
        <v>23</v>
      </c>
      <c r="E1136" s="16" t="s">
        <v>23</v>
      </c>
      <c r="F1136" s="16"/>
      <c r="G1136" s="47"/>
      <c r="H1136" s="47"/>
      <c r="I1136" s="18"/>
      <c r="J1136" s="18"/>
      <c r="K1136" s="18"/>
      <c r="L1136" s="25"/>
      <c r="M1136" s="6"/>
    </row>
    <row r="1137" s="4" customFormat="1" hidden="1" customHeight="1" spans="1:13">
      <c r="A1137" s="14" t="str">
        <f t="shared" si="23"/>
        <v>0x0000024C</v>
      </c>
      <c r="B1137" s="15">
        <f>SUM_HEX(C1136:F1136,B1136,3)</f>
        <v>588</v>
      </c>
      <c r="C1137" s="16" t="s">
        <v>274</v>
      </c>
      <c r="D1137" s="16"/>
      <c r="E1137" s="16"/>
      <c r="F1137" s="16"/>
      <c r="G1137" s="48"/>
      <c r="H1137" s="48"/>
      <c r="I1137" s="18"/>
      <c r="J1137" s="18"/>
      <c r="K1137" s="18"/>
      <c r="L1137" s="25"/>
      <c r="M1137" s="6"/>
    </row>
    <row r="1138" s="4" customFormat="1" hidden="1" customHeight="1" spans="1:13">
      <c r="A1138" s="14" t="str">
        <f t="shared" si="23"/>
        <v>0x00000250</v>
      </c>
      <c r="B1138" s="15">
        <f>SUM_HEX(C1137:F1137,B1137,3)</f>
        <v>592</v>
      </c>
      <c r="C1138" s="16" t="s">
        <v>23</v>
      </c>
      <c r="D1138" s="16"/>
      <c r="E1138" s="16"/>
      <c r="F1138" s="16"/>
      <c r="G1138" s="18" t="s">
        <v>15</v>
      </c>
      <c r="H1138" s="18"/>
      <c r="I1138" s="24" t="s">
        <v>377</v>
      </c>
      <c r="J1138" s="18"/>
      <c r="K1138" s="18" t="s">
        <v>318</v>
      </c>
      <c r="L1138" s="25" t="s">
        <v>374</v>
      </c>
      <c r="M1138" s="6"/>
    </row>
    <row r="1139" s="4" customFormat="1" hidden="1" customHeight="1" spans="1:13">
      <c r="A1139" s="14" t="str">
        <f t="shared" si="23"/>
        <v>0x00000254</v>
      </c>
      <c r="B1139" s="15">
        <f>SUM_HEX(C1138:F1138,B1138,3)</f>
        <v>596</v>
      </c>
      <c r="C1139" s="16" t="s">
        <v>23</v>
      </c>
      <c r="D1139" s="16"/>
      <c r="E1139" s="16"/>
      <c r="F1139" s="16"/>
      <c r="G1139" s="46" t="s">
        <v>157</v>
      </c>
      <c r="H1139" s="46" t="s">
        <v>326</v>
      </c>
      <c r="I1139" s="24" t="s">
        <v>378</v>
      </c>
      <c r="J1139" s="18"/>
      <c r="K1139" s="18" t="s">
        <v>332</v>
      </c>
      <c r="L1139" s="25" t="s">
        <v>333</v>
      </c>
      <c r="M1139" s="6"/>
    </row>
    <row r="1140" s="4" customFormat="1" hidden="1" customHeight="1" spans="1:13">
      <c r="A1140" s="14" t="str">
        <f t="shared" si="23"/>
        <v>0x00000258</v>
      </c>
      <c r="B1140" s="15">
        <f>SUM_HEX(C1139:F1139,B1139,3)</f>
        <v>600</v>
      </c>
      <c r="C1140" s="16" t="s">
        <v>379</v>
      </c>
      <c r="D1140" s="16"/>
      <c r="E1140" s="16"/>
      <c r="F1140" s="16"/>
      <c r="G1140" s="47"/>
      <c r="H1140" s="47"/>
      <c r="I1140" s="18"/>
      <c r="J1140" s="18"/>
      <c r="K1140" s="18"/>
      <c r="L1140" s="25"/>
      <c r="M1140" s="6"/>
    </row>
    <row r="1141" s="4" customFormat="1" hidden="1" customHeight="1" spans="1:13">
      <c r="A1141" s="14" t="str">
        <f t="shared" si="23"/>
        <v>0x0000025C</v>
      </c>
      <c r="B1141" s="15">
        <f>SUM_HEX(C1140:F1140,B1140,3)</f>
        <v>604</v>
      </c>
      <c r="C1141" s="16" t="s">
        <v>23</v>
      </c>
      <c r="D1141" s="16" t="s">
        <v>23</v>
      </c>
      <c r="E1141" s="16" t="s">
        <v>23</v>
      </c>
      <c r="F1141" s="16"/>
      <c r="G1141" s="47"/>
      <c r="H1141" s="47"/>
      <c r="I1141" s="18"/>
      <c r="J1141" s="18"/>
      <c r="K1141" s="18"/>
      <c r="L1141" s="25"/>
      <c r="M1141" s="6"/>
    </row>
    <row r="1142" s="4" customFormat="1" hidden="1" customHeight="1" spans="1:13">
      <c r="A1142" s="14" t="str">
        <f t="shared" si="23"/>
        <v>0x00000268</v>
      </c>
      <c r="B1142" s="15">
        <f>SUM_HEX(C1141:F1141,B1141,3)</f>
        <v>616</v>
      </c>
      <c r="C1142" s="16" t="s">
        <v>23</v>
      </c>
      <c r="D1142" s="16" t="s">
        <v>23</v>
      </c>
      <c r="E1142" s="16" t="s">
        <v>23</v>
      </c>
      <c r="F1142" s="16"/>
      <c r="G1142" s="47"/>
      <c r="H1142" s="47"/>
      <c r="I1142" s="18"/>
      <c r="J1142" s="18"/>
      <c r="K1142" s="18"/>
      <c r="L1142" s="25"/>
      <c r="M1142" s="6"/>
    </row>
    <row r="1143" s="4" customFormat="1" hidden="1" customHeight="1" spans="1:13">
      <c r="A1143" s="14" t="str">
        <f t="shared" si="23"/>
        <v>0x00000274</v>
      </c>
      <c r="B1143" s="15">
        <f>SUM_HEX(C1142:F1142,B1142,3)</f>
        <v>628</v>
      </c>
      <c r="C1143" s="16" t="s">
        <v>274</v>
      </c>
      <c r="D1143" s="16"/>
      <c r="E1143" s="16"/>
      <c r="F1143" s="16"/>
      <c r="G1143" s="48"/>
      <c r="H1143" s="48"/>
      <c r="I1143" s="18"/>
      <c r="J1143" s="18"/>
      <c r="K1143" s="18"/>
      <c r="L1143" s="25"/>
      <c r="M1143" s="6"/>
    </row>
    <row r="1144" s="4" customFormat="1" hidden="1" customHeight="1" spans="1:13">
      <c r="A1144" s="14" t="str">
        <f t="shared" si="23"/>
        <v>0x00000278</v>
      </c>
      <c r="B1144" s="15">
        <f>SUM_HEX(C1143:F1143,B1143,3)</f>
        <v>632</v>
      </c>
      <c r="C1144" s="16" t="s">
        <v>23</v>
      </c>
      <c r="D1144" s="16"/>
      <c r="E1144" s="16"/>
      <c r="F1144" s="16"/>
      <c r="G1144" s="18" t="s">
        <v>15</v>
      </c>
      <c r="H1144" s="18"/>
      <c r="I1144" s="24" t="s">
        <v>380</v>
      </c>
      <c r="J1144" s="18"/>
      <c r="K1144" s="18" t="s">
        <v>318</v>
      </c>
      <c r="L1144" s="25" t="s">
        <v>374</v>
      </c>
      <c r="M1144" s="6"/>
    </row>
    <row r="1145" s="4" customFormat="1" hidden="1" customHeight="1" spans="1:13">
      <c r="A1145" s="14" t="str">
        <f t="shared" si="23"/>
        <v>0x0000027C</v>
      </c>
      <c r="B1145" s="15">
        <f>SUM_HEX(C1144:F1144,B1144,3)</f>
        <v>636</v>
      </c>
      <c r="C1145" s="16" t="s">
        <v>23</v>
      </c>
      <c r="D1145" s="16"/>
      <c r="E1145" s="16"/>
      <c r="F1145" s="16"/>
      <c r="G1145" s="46" t="s">
        <v>157</v>
      </c>
      <c r="H1145" s="46" t="s">
        <v>335</v>
      </c>
      <c r="I1145" s="24" t="s">
        <v>381</v>
      </c>
      <c r="J1145" s="18"/>
      <c r="K1145" s="18" t="s">
        <v>337</v>
      </c>
      <c r="L1145" s="25"/>
      <c r="M1145" s="6"/>
    </row>
    <row r="1146" s="4" customFormat="1" hidden="1" customHeight="1" spans="1:13">
      <c r="A1146" s="14" t="str">
        <f t="shared" si="23"/>
        <v>0x00000280</v>
      </c>
      <c r="B1146" s="15">
        <f>SUM_HEX(C1145:F1145,B1145,3)</f>
        <v>640</v>
      </c>
      <c r="C1146" s="16" t="s">
        <v>382</v>
      </c>
      <c r="D1146" s="16"/>
      <c r="E1146" s="16"/>
      <c r="F1146" s="16"/>
      <c r="G1146" s="47"/>
      <c r="H1146" s="47"/>
      <c r="I1146" s="18"/>
      <c r="J1146" s="18"/>
      <c r="K1146" s="18"/>
      <c r="L1146" s="25"/>
      <c r="M1146" s="6"/>
    </row>
    <row r="1147" s="4" customFormat="1" hidden="1" customHeight="1" spans="1:13">
      <c r="A1147" s="14" t="str">
        <f t="shared" si="23"/>
        <v>0x00000284</v>
      </c>
      <c r="B1147" s="15">
        <f>SUM_HEX(C1146:F1146,B1146,3)</f>
        <v>644</v>
      </c>
      <c r="C1147" s="16" t="s">
        <v>274</v>
      </c>
      <c r="D1147" s="16" t="s">
        <v>23</v>
      </c>
      <c r="E1147" s="16"/>
      <c r="F1147" s="16"/>
      <c r="G1147" s="47"/>
      <c r="H1147" s="47"/>
      <c r="I1147" s="18"/>
      <c r="J1147" s="18"/>
      <c r="K1147" s="18"/>
      <c r="L1147" s="25"/>
      <c r="M1147" s="6"/>
    </row>
    <row r="1148" s="4" customFormat="1" hidden="1" customHeight="1" spans="1:13">
      <c r="A1148" s="14" t="str">
        <f t="shared" si="23"/>
        <v>0x0000028C</v>
      </c>
      <c r="B1148" s="15">
        <f>SUM_HEX(C1147:F1147,B1147,3)</f>
        <v>652</v>
      </c>
      <c r="C1148" s="16" t="s">
        <v>274</v>
      </c>
      <c r="D1148" s="16"/>
      <c r="E1148" s="16"/>
      <c r="F1148" s="16"/>
      <c r="G1148" s="48"/>
      <c r="H1148" s="48"/>
      <c r="I1148" s="18"/>
      <c r="J1148" s="18"/>
      <c r="K1148" s="18"/>
      <c r="L1148" s="25"/>
      <c r="M1148" s="6"/>
    </row>
    <row r="1149" s="4" customFormat="1" hidden="1" customHeight="1" spans="1:13">
      <c r="A1149" s="14" t="str">
        <f t="shared" si="23"/>
        <v>0x00000290</v>
      </c>
      <c r="B1149" s="15">
        <f>SUM_HEX(C1148:F1148,B1148,3)</f>
        <v>656</v>
      </c>
      <c r="C1149" s="16" t="s">
        <v>23</v>
      </c>
      <c r="D1149" s="16"/>
      <c r="E1149" s="16"/>
      <c r="F1149" s="16"/>
      <c r="G1149" s="46" t="s">
        <v>157</v>
      </c>
      <c r="H1149" s="46" t="s">
        <v>335</v>
      </c>
      <c r="I1149" s="24" t="s">
        <v>383</v>
      </c>
      <c r="J1149" s="18"/>
      <c r="K1149" s="18" t="s">
        <v>337</v>
      </c>
      <c r="L1149" s="25"/>
      <c r="M1149" s="6"/>
    </row>
    <row r="1150" s="4" customFormat="1" hidden="1" customHeight="1" spans="1:13">
      <c r="A1150" s="14" t="str">
        <f t="shared" si="23"/>
        <v>0x00000294</v>
      </c>
      <c r="B1150" s="15">
        <f>SUM_HEX(C1149:F1149,B1149,3)</f>
        <v>660</v>
      </c>
      <c r="C1150" s="16" t="s">
        <v>384</v>
      </c>
      <c r="D1150" s="16"/>
      <c r="E1150" s="16"/>
      <c r="F1150" s="16"/>
      <c r="G1150" s="47"/>
      <c r="H1150" s="47"/>
      <c r="I1150" s="18"/>
      <c r="J1150" s="18"/>
      <c r="K1150" s="18"/>
      <c r="L1150" s="25"/>
      <c r="M1150" s="6"/>
    </row>
    <row r="1151" s="4" customFormat="1" hidden="1" customHeight="1" spans="1:13">
      <c r="A1151" s="14" t="str">
        <f t="shared" si="23"/>
        <v>0x00000298</v>
      </c>
      <c r="B1151" s="15">
        <f>SUM_HEX(C1150:F1150,B1150,3)</f>
        <v>664</v>
      </c>
      <c r="C1151" s="16" t="s">
        <v>274</v>
      </c>
      <c r="D1151" s="16" t="s">
        <v>23</v>
      </c>
      <c r="E1151" s="16"/>
      <c r="F1151" s="16"/>
      <c r="G1151" s="47"/>
      <c r="H1151" s="47"/>
      <c r="I1151" s="18"/>
      <c r="J1151" s="18"/>
      <c r="K1151" s="18"/>
      <c r="L1151" s="25"/>
      <c r="M1151" s="6"/>
    </row>
    <row r="1152" s="4" customFormat="1" hidden="1" customHeight="1" spans="1:13">
      <c r="A1152" s="14" t="str">
        <f t="shared" si="23"/>
        <v>0x000002A0</v>
      </c>
      <c r="B1152" s="15">
        <f>SUM_HEX(C1151:F1151,B1151,3)</f>
        <v>672</v>
      </c>
      <c r="C1152" s="16" t="s">
        <v>274</v>
      </c>
      <c r="D1152" s="16"/>
      <c r="E1152" s="16"/>
      <c r="F1152" s="16"/>
      <c r="G1152" s="48"/>
      <c r="H1152" s="48"/>
      <c r="I1152" s="18"/>
      <c r="J1152" s="18"/>
      <c r="K1152" s="18"/>
      <c r="L1152" s="25"/>
      <c r="M1152" s="6"/>
    </row>
    <row r="1153" s="4" customFormat="1" hidden="1" customHeight="1" spans="1:13">
      <c r="A1153" s="14" t="str">
        <f t="shared" si="23"/>
        <v>0x000002A4</v>
      </c>
      <c r="B1153" s="15">
        <f>SUM_HEX(C1152:F1152,B1152,3)</f>
        <v>676</v>
      </c>
      <c r="C1153" s="16" t="s">
        <v>23</v>
      </c>
      <c r="D1153" s="16"/>
      <c r="E1153" s="16"/>
      <c r="F1153" s="16"/>
      <c r="G1153" s="46" t="s">
        <v>157</v>
      </c>
      <c r="H1153" s="46" t="s">
        <v>335</v>
      </c>
      <c r="I1153" s="24" t="s">
        <v>385</v>
      </c>
      <c r="J1153" s="18"/>
      <c r="K1153" s="18" t="s">
        <v>337</v>
      </c>
      <c r="L1153" s="25"/>
      <c r="M1153" s="6"/>
    </row>
    <row r="1154" s="4" customFormat="1" hidden="1" customHeight="1" spans="1:13">
      <c r="A1154" s="14" t="str">
        <f t="shared" si="23"/>
        <v>0x000002A8</v>
      </c>
      <c r="B1154" s="15">
        <f>SUM_HEX(C1153:F1153,B1153,3)</f>
        <v>680</v>
      </c>
      <c r="C1154" s="16" t="s">
        <v>386</v>
      </c>
      <c r="D1154" s="16"/>
      <c r="E1154" s="16"/>
      <c r="F1154" s="16"/>
      <c r="G1154" s="47"/>
      <c r="H1154" s="47"/>
      <c r="I1154" s="18"/>
      <c r="J1154" s="18"/>
      <c r="K1154" s="18"/>
      <c r="L1154" s="25"/>
      <c r="M1154" s="6"/>
    </row>
    <row r="1155" s="4" customFormat="1" hidden="1" customHeight="1" spans="1:13">
      <c r="A1155" s="14" t="str">
        <f t="shared" si="23"/>
        <v>0x000002AC</v>
      </c>
      <c r="B1155" s="15">
        <f>SUM_HEX(C1154:F1154,B1154,3)</f>
        <v>684</v>
      </c>
      <c r="C1155" s="16" t="s">
        <v>274</v>
      </c>
      <c r="D1155" s="16" t="s">
        <v>23</v>
      </c>
      <c r="E1155" s="16"/>
      <c r="F1155" s="16"/>
      <c r="G1155" s="47"/>
      <c r="H1155" s="47"/>
      <c r="I1155" s="18"/>
      <c r="J1155" s="18"/>
      <c r="K1155" s="18"/>
      <c r="L1155" s="25"/>
      <c r="M1155" s="6"/>
    </row>
    <row r="1156" s="4" customFormat="1" hidden="1" customHeight="1" spans="1:13">
      <c r="A1156" s="14" t="str">
        <f t="shared" si="23"/>
        <v>0x000002B4</v>
      </c>
      <c r="B1156" s="15">
        <f>SUM_HEX(C1155:F1155,B1155,3)</f>
        <v>692</v>
      </c>
      <c r="C1156" s="16" t="s">
        <v>274</v>
      </c>
      <c r="D1156" s="16"/>
      <c r="E1156" s="16"/>
      <c r="F1156" s="16"/>
      <c r="G1156" s="48"/>
      <c r="H1156" s="48"/>
      <c r="I1156" s="18"/>
      <c r="J1156" s="18"/>
      <c r="K1156" s="18"/>
      <c r="L1156" s="25"/>
      <c r="M1156" s="6"/>
    </row>
    <row r="1157" s="4" customFormat="1" hidden="1" customHeight="1" spans="1:13">
      <c r="A1157" s="14" t="str">
        <f t="shared" si="23"/>
        <v>0x000002B8</v>
      </c>
      <c r="B1157" s="15">
        <f>SUM_HEX(C1156:F1156,B1156,3)</f>
        <v>696</v>
      </c>
      <c r="C1157" s="16" t="s">
        <v>23</v>
      </c>
      <c r="D1157" s="16"/>
      <c r="E1157" s="16"/>
      <c r="F1157" s="16"/>
      <c r="G1157" s="18" t="s">
        <v>15</v>
      </c>
      <c r="H1157" s="18"/>
      <c r="I1157" s="24" t="s">
        <v>387</v>
      </c>
      <c r="J1157" s="18"/>
      <c r="K1157" s="18" t="s">
        <v>318</v>
      </c>
      <c r="L1157" s="25" t="s">
        <v>374</v>
      </c>
      <c r="M1157" s="6"/>
    </row>
    <row r="1158" s="4" customFormat="1" hidden="1" customHeight="1" spans="1:13">
      <c r="A1158" s="14" t="str">
        <f t="shared" ref="A1158:A1221" si="24">"0x"&amp;DEC2HEX(B1158,8)</f>
        <v>0x000002BC</v>
      </c>
      <c r="B1158" s="15">
        <f>SUM_HEX(C1157:F1157,B1157,3)</f>
        <v>700</v>
      </c>
      <c r="C1158" s="16" t="s">
        <v>23</v>
      </c>
      <c r="D1158" s="16"/>
      <c r="E1158" s="16"/>
      <c r="F1158" s="16"/>
      <c r="G1158" s="46" t="s">
        <v>157</v>
      </c>
      <c r="H1158" s="46" t="s">
        <v>388</v>
      </c>
      <c r="I1158" s="18" t="s">
        <v>389</v>
      </c>
      <c r="J1158" s="18"/>
      <c r="K1158" s="18"/>
      <c r="L1158" s="25"/>
      <c r="M1158" s="6"/>
    </row>
    <row r="1159" s="4" customFormat="1" hidden="1" customHeight="1" spans="1:13">
      <c r="A1159" s="14" t="str">
        <f t="shared" si="24"/>
        <v>0x000002C0</v>
      </c>
      <c r="B1159" s="15">
        <f>SUM_HEX(C1158:F1158,B1158,3)</f>
        <v>704</v>
      </c>
      <c r="C1159" s="16" t="s">
        <v>390</v>
      </c>
      <c r="D1159" s="16"/>
      <c r="E1159" s="16"/>
      <c r="F1159" s="16"/>
      <c r="G1159" s="47"/>
      <c r="H1159" s="47"/>
      <c r="I1159" s="18"/>
      <c r="J1159" s="18"/>
      <c r="K1159" s="18"/>
      <c r="L1159" s="25"/>
      <c r="M1159" s="6"/>
    </row>
    <row r="1160" s="4" customFormat="1" hidden="1" customHeight="1" spans="1:13">
      <c r="A1160" s="14" t="str">
        <f t="shared" si="24"/>
        <v>0x000002C4</v>
      </c>
      <c r="B1160" s="15">
        <f>SUM_HEX(C1159:F1159,B1159,3)</f>
        <v>708</v>
      </c>
      <c r="C1160" s="16" t="s">
        <v>391</v>
      </c>
      <c r="D1160" s="16" t="s">
        <v>391</v>
      </c>
      <c r="E1160" s="16"/>
      <c r="F1160" s="16"/>
      <c r="G1160" s="47"/>
      <c r="H1160" s="47"/>
      <c r="I1160" s="18"/>
      <c r="J1160" s="18"/>
      <c r="K1160" s="18"/>
      <c r="L1160" s="25"/>
      <c r="M1160" s="6"/>
    </row>
    <row r="1161" s="4" customFormat="1" hidden="1" customHeight="1" spans="1:13">
      <c r="A1161" s="14" t="str">
        <f t="shared" si="24"/>
        <v>0x000002C8</v>
      </c>
      <c r="B1161" s="15">
        <f>SUM_HEX(C1160:F1160,B1160,3)</f>
        <v>712</v>
      </c>
      <c r="C1161" s="16" t="s">
        <v>274</v>
      </c>
      <c r="D1161" s="16"/>
      <c r="E1161" s="16"/>
      <c r="F1161" s="16"/>
      <c r="G1161" s="48"/>
      <c r="H1161" s="48"/>
      <c r="I1161" s="18"/>
      <c r="J1161" s="18"/>
      <c r="K1161" s="18"/>
      <c r="L1161" s="25"/>
      <c r="M1161" s="6"/>
    </row>
    <row r="1162" s="4" customFormat="1" hidden="1" customHeight="1" spans="1:13">
      <c r="A1162" s="14" t="str">
        <f t="shared" si="24"/>
        <v>0x000002CC</v>
      </c>
      <c r="B1162" s="15">
        <f>SUM_HEX(C1161:F1161,B1161,3)</f>
        <v>716</v>
      </c>
      <c r="C1162" s="16" t="s">
        <v>392</v>
      </c>
      <c r="D1162" s="16"/>
      <c r="E1162" s="16"/>
      <c r="F1162" s="16"/>
      <c r="G1162" s="18" t="s">
        <v>393</v>
      </c>
      <c r="H1162" s="18"/>
      <c r="I1162" s="24" t="s">
        <v>394</v>
      </c>
      <c r="J1162" s="18"/>
      <c r="K1162" s="18"/>
      <c r="L1162" s="25"/>
      <c r="M1162" s="6"/>
    </row>
    <row r="1163" s="4" customFormat="1" hidden="1" customHeight="1" spans="1:13">
      <c r="A1163" s="14" t="str">
        <f t="shared" si="24"/>
        <v>0x000002CD</v>
      </c>
      <c r="B1163" s="15">
        <f>SUM_HEX(C1162:F1162,B1162,3)</f>
        <v>717</v>
      </c>
      <c r="C1163" s="16" t="s">
        <v>392</v>
      </c>
      <c r="D1163" s="16"/>
      <c r="E1163" s="16"/>
      <c r="F1163" s="16"/>
      <c r="G1163" s="18" t="s">
        <v>393</v>
      </c>
      <c r="H1163" s="18"/>
      <c r="I1163" s="24" t="s">
        <v>395</v>
      </c>
      <c r="J1163" s="18"/>
      <c r="K1163" s="18"/>
      <c r="L1163" s="25"/>
      <c r="M1163" s="6"/>
    </row>
    <row r="1164" s="4" customFormat="1" hidden="1" customHeight="1" spans="1:13">
      <c r="A1164" s="14" t="str">
        <f t="shared" si="24"/>
        <v>0x000002CE</v>
      </c>
      <c r="B1164" s="15">
        <f>SUM_HEX(C1163:F1163,B1163,3)</f>
        <v>718</v>
      </c>
      <c r="C1164" s="16" t="s">
        <v>392</v>
      </c>
      <c r="D1164" s="16"/>
      <c r="E1164" s="16"/>
      <c r="F1164" s="16"/>
      <c r="G1164" s="18" t="s">
        <v>393</v>
      </c>
      <c r="H1164" s="18"/>
      <c r="I1164" s="24" t="s">
        <v>396</v>
      </c>
      <c r="J1164" s="18"/>
      <c r="K1164" s="18"/>
      <c r="L1164" s="25"/>
      <c r="M1164" s="6"/>
    </row>
    <row r="1165" s="4" customFormat="1" hidden="1" customHeight="1" spans="1:13">
      <c r="A1165" s="14" t="str">
        <f t="shared" si="24"/>
        <v>0x000002CF</v>
      </c>
      <c r="B1165" s="15">
        <f>SUM_HEX(C1164:F1164,B1164,3)</f>
        <v>719</v>
      </c>
      <c r="C1165" s="16" t="s">
        <v>392</v>
      </c>
      <c r="D1165" s="16"/>
      <c r="E1165" s="16"/>
      <c r="F1165" s="16"/>
      <c r="G1165" s="17"/>
      <c r="H1165" s="17"/>
      <c r="I1165" s="22"/>
      <c r="J1165" s="17"/>
      <c r="K1165" s="17"/>
      <c r="L1165" s="23"/>
      <c r="M1165" s="6"/>
    </row>
    <row r="1166" s="4" customFormat="1" hidden="1" customHeight="1" spans="1:13">
      <c r="A1166" s="14" t="str">
        <f t="shared" si="24"/>
        <v>0x000002D0</v>
      </c>
      <c r="B1166" s="15">
        <f>SUM_HEX(C1165:F1165,B1165,3)</f>
        <v>720</v>
      </c>
      <c r="C1166" s="16" t="s">
        <v>316</v>
      </c>
      <c r="D1166" s="16"/>
      <c r="E1166" s="16"/>
      <c r="F1166" s="16"/>
      <c r="G1166" s="18" t="s">
        <v>212</v>
      </c>
      <c r="H1166" s="18"/>
      <c r="I1166" s="24" t="s">
        <v>397</v>
      </c>
      <c r="J1166" s="18"/>
      <c r="K1166" s="18"/>
      <c r="L1166" s="25"/>
      <c r="M1166" s="6"/>
    </row>
    <row r="1167" s="4" customFormat="1" hidden="1" customHeight="1" spans="1:13">
      <c r="A1167" s="14" t="str">
        <f t="shared" si="24"/>
        <v>0x000002D4</v>
      </c>
      <c r="B1167" s="15">
        <f>SUM_HEX(C1166:F1166,B1166,3)</f>
        <v>724</v>
      </c>
      <c r="C1167" s="16" t="s">
        <v>391</v>
      </c>
      <c r="D1167" s="16"/>
      <c r="E1167" s="16"/>
      <c r="F1167" s="16"/>
      <c r="G1167" s="18" t="s">
        <v>398</v>
      </c>
      <c r="H1167" s="18"/>
      <c r="I1167" s="24" t="s">
        <v>399</v>
      </c>
      <c r="J1167" s="18"/>
      <c r="K1167" s="18"/>
      <c r="L1167" s="25"/>
      <c r="M1167" s="6"/>
    </row>
    <row r="1168" s="4" customFormat="1" hidden="1" customHeight="1" spans="1:13">
      <c r="A1168" s="14" t="str">
        <f t="shared" si="24"/>
        <v>0x000002D6</v>
      </c>
      <c r="B1168" s="15">
        <f>SUM_HEX(C1167:F1167,B1167,3)</f>
        <v>726</v>
      </c>
      <c r="C1168" s="16" t="s">
        <v>391</v>
      </c>
      <c r="D1168" s="16"/>
      <c r="E1168" s="16"/>
      <c r="F1168" s="16"/>
      <c r="G1168" s="18" t="s">
        <v>398</v>
      </c>
      <c r="H1168" s="18"/>
      <c r="I1168" s="24" t="s">
        <v>400</v>
      </c>
      <c r="J1168" s="18"/>
      <c r="K1168" s="18"/>
      <c r="L1168" s="25"/>
      <c r="M1168" s="6"/>
    </row>
    <row r="1169" s="4" customFormat="1" hidden="1" customHeight="1" spans="1:13">
      <c r="A1169" s="14" t="str">
        <f t="shared" si="24"/>
        <v>0x000002D8</v>
      </c>
      <c r="B1169" s="15">
        <f>SUM_HEX(C1168:F1168,B1168,3)</f>
        <v>728</v>
      </c>
      <c r="C1169" s="16" t="s">
        <v>401</v>
      </c>
      <c r="D1169" s="16"/>
      <c r="E1169" s="16"/>
      <c r="F1169" s="16"/>
      <c r="G1169" s="17"/>
      <c r="H1169" s="17"/>
      <c r="I1169" s="22"/>
      <c r="J1169" s="17"/>
      <c r="K1169" s="17"/>
      <c r="L1169" s="23"/>
      <c r="M1169" s="6"/>
    </row>
    <row r="1170" s="4" customFormat="1" hidden="1" customHeight="1" spans="1:13">
      <c r="A1170" s="14" t="str">
        <f t="shared" si="24"/>
        <v>0x000002DC</v>
      </c>
      <c r="B1170" s="15">
        <f>SUM_HEX(C1169:F1169,B1169,3)</f>
        <v>732</v>
      </c>
      <c r="C1170" s="16" t="s">
        <v>401</v>
      </c>
      <c r="D1170" s="16"/>
      <c r="E1170" s="16"/>
      <c r="F1170" s="16"/>
      <c r="G1170" s="17"/>
      <c r="H1170" s="17"/>
      <c r="I1170" s="22"/>
      <c r="J1170" s="17"/>
      <c r="K1170" s="17"/>
      <c r="L1170" s="23"/>
      <c r="M1170" s="6"/>
    </row>
    <row r="1171" s="4" customFormat="1" hidden="1" customHeight="1" spans="1:13">
      <c r="A1171" s="14" t="str">
        <f t="shared" si="24"/>
        <v>0x000002E0</v>
      </c>
      <c r="B1171" s="15">
        <f>SUM_HEX(C1170:F1170,B1170,3)</f>
        <v>736</v>
      </c>
      <c r="C1171" s="16" t="s">
        <v>23</v>
      </c>
      <c r="D1171" s="16"/>
      <c r="E1171" s="16"/>
      <c r="F1171" s="16"/>
      <c r="G1171" s="18" t="s">
        <v>212</v>
      </c>
      <c r="H1171" s="18"/>
      <c r="I1171" s="24" t="s">
        <v>402</v>
      </c>
      <c r="J1171" s="18"/>
      <c r="K1171" s="18"/>
      <c r="L1171" s="25" t="s">
        <v>272</v>
      </c>
      <c r="M1171" s="6"/>
    </row>
    <row r="1172" s="4" customFormat="1" hidden="1" customHeight="1" spans="1:13">
      <c r="A1172" s="14" t="str">
        <f t="shared" si="24"/>
        <v>0x000002E4</v>
      </c>
      <c r="B1172" s="15">
        <f>SUM_HEX(C1171:F1171,B1171,3)</f>
        <v>740</v>
      </c>
      <c r="C1172" s="16" t="s">
        <v>148</v>
      </c>
      <c r="D1172" s="16"/>
      <c r="E1172" s="16"/>
      <c r="F1172" s="16"/>
      <c r="G1172" s="18" t="s">
        <v>212</v>
      </c>
      <c r="H1172" s="18"/>
      <c r="I1172" s="24" t="s">
        <v>403</v>
      </c>
      <c r="J1172" s="18"/>
      <c r="K1172" s="18"/>
      <c r="L1172" s="25" t="s">
        <v>272</v>
      </c>
      <c r="M1172" s="6"/>
    </row>
    <row r="1173" s="4" customFormat="1" hidden="1" customHeight="1" spans="1:13">
      <c r="A1173" s="14" t="str">
        <f t="shared" si="24"/>
        <v>0x000002E8</v>
      </c>
      <c r="B1173" s="15">
        <f>SUM_HEX(C1172:F1172,B1172,3)</f>
        <v>744</v>
      </c>
      <c r="C1173" s="16" t="s">
        <v>274</v>
      </c>
      <c r="D1173" s="16"/>
      <c r="E1173" s="16"/>
      <c r="F1173" s="16"/>
      <c r="G1173" s="18" t="s">
        <v>15</v>
      </c>
      <c r="H1173" s="18"/>
      <c r="I1173" s="24" t="s">
        <v>404</v>
      </c>
      <c r="J1173" s="18"/>
      <c r="K1173" s="18" t="s">
        <v>405</v>
      </c>
      <c r="L1173" s="25" t="s">
        <v>280</v>
      </c>
      <c r="M1173" s="6"/>
    </row>
    <row r="1174" s="4" customFormat="1" hidden="1" customHeight="1" spans="1:13">
      <c r="A1174" s="14" t="str">
        <f t="shared" si="24"/>
        <v>0x000002EC</v>
      </c>
      <c r="B1174" s="15">
        <f>SUM_HEX(C1173:F1173,B1173,3)</f>
        <v>748</v>
      </c>
      <c r="C1174" s="16" t="s">
        <v>23</v>
      </c>
      <c r="D1174" s="16"/>
      <c r="E1174" s="16"/>
      <c r="F1174" s="16"/>
      <c r="G1174" s="18" t="s">
        <v>212</v>
      </c>
      <c r="H1174" s="18"/>
      <c r="I1174" s="24" t="s">
        <v>406</v>
      </c>
      <c r="J1174" s="18"/>
      <c r="K1174" s="18"/>
      <c r="L1174" s="25"/>
      <c r="M1174" s="6"/>
    </row>
    <row r="1175" s="4" customFormat="1" hidden="1" customHeight="1" spans="1:13">
      <c r="A1175" s="14" t="str">
        <f t="shared" si="24"/>
        <v>0x000002F0</v>
      </c>
      <c r="B1175" s="15">
        <f>SUM_HEX(C1174:F1174,B1174,3)</f>
        <v>752</v>
      </c>
      <c r="C1175" s="16" t="s">
        <v>23</v>
      </c>
      <c r="D1175" s="16"/>
      <c r="E1175" s="16"/>
      <c r="F1175" s="16"/>
      <c r="G1175" s="18" t="s">
        <v>212</v>
      </c>
      <c r="H1175" s="18"/>
      <c r="I1175" s="24" t="s">
        <v>407</v>
      </c>
      <c r="J1175" s="18"/>
      <c r="K1175" s="18"/>
      <c r="L1175" s="25"/>
      <c r="M1175" s="6"/>
    </row>
    <row r="1176" s="4" customFormat="1" hidden="1" customHeight="1" spans="1:13">
      <c r="A1176" s="14" t="str">
        <f t="shared" si="24"/>
        <v>0x000002F4</v>
      </c>
      <c r="B1176" s="15">
        <f>SUM_HEX(C1175:F1175,B1175,3)</f>
        <v>756</v>
      </c>
      <c r="C1176" s="16" t="s">
        <v>23</v>
      </c>
      <c r="D1176" s="16"/>
      <c r="E1176" s="16"/>
      <c r="F1176" s="16"/>
      <c r="G1176" s="18" t="s">
        <v>212</v>
      </c>
      <c r="H1176" s="18"/>
      <c r="I1176" s="24" t="s">
        <v>408</v>
      </c>
      <c r="J1176" s="18"/>
      <c r="K1176" s="18"/>
      <c r="L1176" s="25" t="s">
        <v>272</v>
      </c>
      <c r="M1176" s="6"/>
    </row>
    <row r="1177" s="4" customFormat="1" hidden="1" customHeight="1" spans="1:13">
      <c r="A1177" s="14" t="str">
        <f t="shared" si="24"/>
        <v>0x000002F8</v>
      </c>
      <c r="B1177" s="15">
        <f>SUM_HEX(C1176:F1176,B1176,3)</f>
        <v>760</v>
      </c>
      <c r="C1177" s="16" t="s">
        <v>23</v>
      </c>
      <c r="D1177" s="16"/>
      <c r="E1177" s="16"/>
      <c r="F1177" s="16"/>
      <c r="G1177" s="18" t="s">
        <v>212</v>
      </c>
      <c r="H1177" s="18"/>
      <c r="I1177" s="24" t="s">
        <v>409</v>
      </c>
      <c r="J1177" s="18"/>
      <c r="K1177" s="18"/>
      <c r="L1177" s="25" t="s">
        <v>272</v>
      </c>
      <c r="M1177" s="6"/>
    </row>
    <row r="1178" s="4" customFormat="1" hidden="1" customHeight="1" spans="1:13">
      <c r="A1178" s="14" t="str">
        <f t="shared" si="24"/>
        <v>0x000002FC</v>
      </c>
      <c r="B1178" s="15">
        <f>SUM_HEX(C1177:F1177,B1177,3)</f>
        <v>764</v>
      </c>
      <c r="C1178" s="16" t="s">
        <v>23</v>
      </c>
      <c r="D1178" s="16"/>
      <c r="E1178" s="16"/>
      <c r="F1178" s="16"/>
      <c r="G1178" s="18" t="s">
        <v>212</v>
      </c>
      <c r="H1178" s="18"/>
      <c r="I1178" s="24" t="s">
        <v>410</v>
      </c>
      <c r="J1178" s="18"/>
      <c r="K1178" s="18"/>
      <c r="L1178" s="25"/>
      <c r="M1178" s="6"/>
    </row>
    <row r="1179" s="4" customFormat="1" hidden="1" customHeight="1" spans="1:13">
      <c r="A1179" s="14" t="str">
        <f t="shared" si="24"/>
        <v>0x00000300</v>
      </c>
      <c r="B1179" s="15">
        <f>SUM_HEX(C1178:F1178,B1178,3)</f>
        <v>768</v>
      </c>
      <c r="C1179" s="16" t="s">
        <v>23</v>
      </c>
      <c r="D1179" s="16"/>
      <c r="E1179" s="16"/>
      <c r="F1179" s="16"/>
      <c r="G1179" s="18" t="s">
        <v>15</v>
      </c>
      <c r="H1179" s="18"/>
      <c r="I1179" s="24" t="s">
        <v>411</v>
      </c>
      <c r="J1179" s="18"/>
      <c r="K1179" s="18" t="s">
        <v>328</v>
      </c>
      <c r="L1179" s="25"/>
      <c r="M1179" s="6"/>
    </row>
    <row r="1180" s="4" customFormat="1" hidden="1" customHeight="1" spans="1:13">
      <c r="A1180" s="14" t="str">
        <f t="shared" si="24"/>
        <v>0x00000304</v>
      </c>
      <c r="B1180" s="15">
        <f>SUM_HEX(C1179:F1179,B1179,3)</f>
        <v>772</v>
      </c>
      <c r="C1180" s="16" t="s">
        <v>148</v>
      </c>
      <c r="D1180" s="16"/>
      <c r="E1180" s="16"/>
      <c r="F1180" s="16"/>
      <c r="G1180" s="18" t="s">
        <v>212</v>
      </c>
      <c r="H1180" s="18"/>
      <c r="I1180" s="24" t="s">
        <v>412</v>
      </c>
      <c r="J1180" s="18"/>
      <c r="K1180" s="18"/>
      <c r="L1180" s="25"/>
      <c r="M1180" s="6"/>
    </row>
    <row r="1181" s="4" customFormat="1" hidden="1" customHeight="1" spans="1:13">
      <c r="A1181" s="14" t="str">
        <f t="shared" si="24"/>
        <v>0x00000308</v>
      </c>
      <c r="B1181" s="15">
        <f>SUM_HEX(C1180:F1180,B1180,3)</f>
        <v>776</v>
      </c>
      <c r="C1181" s="16" t="s">
        <v>23</v>
      </c>
      <c r="D1181" s="16" t="s">
        <v>23</v>
      </c>
      <c r="E1181" s="16" t="s">
        <v>148</v>
      </c>
      <c r="F1181" s="16"/>
      <c r="G1181" s="18" t="s">
        <v>326</v>
      </c>
      <c r="H1181" s="18"/>
      <c r="I1181" s="24" t="s">
        <v>413</v>
      </c>
      <c r="J1181" s="18"/>
      <c r="K1181" s="18"/>
      <c r="L1181" s="25"/>
      <c r="M1181" s="6"/>
    </row>
    <row r="1182" s="4" customFormat="1" hidden="1" customHeight="1" spans="1:13">
      <c r="A1182" s="14" t="str">
        <f t="shared" si="24"/>
        <v>0x00000314</v>
      </c>
      <c r="B1182" s="15">
        <f>SUM_HEX(C1181:F1181,B1181,3)</f>
        <v>788</v>
      </c>
      <c r="C1182" s="16" t="s">
        <v>148</v>
      </c>
      <c r="D1182" s="16"/>
      <c r="E1182" s="16"/>
      <c r="F1182" s="16"/>
      <c r="G1182" s="18" t="s">
        <v>212</v>
      </c>
      <c r="H1182" s="18"/>
      <c r="I1182" s="24" t="s">
        <v>414</v>
      </c>
      <c r="J1182" s="18"/>
      <c r="K1182" s="18"/>
      <c r="L1182" s="25"/>
      <c r="M1182" s="6"/>
    </row>
    <row r="1183" s="4" customFormat="1" hidden="1" customHeight="1" spans="1:13">
      <c r="A1183" s="14" t="str">
        <f t="shared" si="24"/>
        <v>0x00000318</v>
      </c>
      <c r="B1183" s="15">
        <f>SUM_HEX(C1182:F1182,B1182,3)</f>
        <v>792</v>
      </c>
      <c r="C1183" s="16" t="s">
        <v>23</v>
      </c>
      <c r="D1183" s="16"/>
      <c r="E1183" s="16"/>
      <c r="F1183" s="16"/>
      <c r="G1183" s="18" t="s">
        <v>15</v>
      </c>
      <c r="H1183" s="18"/>
      <c r="I1183" s="24" t="s">
        <v>415</v>
      </c>
      <c r="J1183" s="18"/>
      <c r="K1183" s="18" t="s">
        <v>416</v>
      </c>
      <c r="L1183" s="25"/>
      <c r="M1183" s="6"/>
    </row>
    <row r="1184" s="4" customFormat="1" hidden="1" customHeight="1" spans="1:13">
      <c r="A1184" s="14" t="str">
        <f t="shared" si="24"/>
        <v>0x0000031C</v>
      </c>
      <c r="B1184" s="15">
        <f>SUM_HEX(C1183:F1183,B1183,3)</f>
        <v>796</v>
      </c>
      <c r="C1184" s="16" t="s">
        <v>23</v>
      </c>
      <c r="D1184" s="16"/>
      <c r="E1184" s="16"/>
      <c r="F1184" s="16"/>
      <c r="G1184" s="46" t="s">
        <v>157</v>
      </c>
      <c r="H1184" s="46" t="s">
        <v>212</v>
      </c>
      <c r="I1184" s="18" t="s">
        <v>417</v>
      </c>
      <c r="J1184" s="18"/>
      <c r="K1184" s="18"/>
      <c r="L1184" s="25"/>
      <c r="M1184" s="6"/>
    </row>
    <row r="1185" s="4" customFormat="1" hidden="1" customHeight="1" spans="1:13">
      <c r="A1185" s="14" t="str">
        <f t="shared" si="24"/>
        <v>0x00000320</v>
      </c>
      <c r="B1185" s="15">
        <f>SUM_HEX(C1184:F1184,B1184,3)</f>
        <v>800</v>
      </c>
      <c r="C1185" s="16" t="s">
        <v>418</v>
      </c>
      <c r="D1185" s="16"/>
      <c r="E1185" s="16"/>
      <c r="F1185" s="16"/>
      <c r="G1185" s="47"/>
      <c r="H1185" s="47"/>
      <c r="I1185" s="18"/>
      <c r="J1185" s="18"/>
      <c r="K1185" s="18"/>
      <c r="L1185" s="25"/>
      <c r="M1185" s="6"/>
    </row>
    <row r="1186" s="4" customFormat="1" hidden="1" customHeight="1" spans="1:13">
      <c r="A1186" s="14" t="str">
        <f t="shared" si="24"/>
        <v>0x00000324</v>
      </c>
      <c r="B1186" s="15">
        <f>SUM_HEX(C1185:F1185,B1185,3)</f>
        <v>804</v>
      </c>
      <c r="C1186" s="16" t="s">
        <v>23</v>
      </c>
      <c r="D1186" s="16" t="s">
        <v>23</v>
      </c>
      <c r="E1186" s="16"/>
      <c r="F1186" s="16"/>
      <c r="G1186" s="47"/>
      <c r="H1186" s="47"/>
      <c r="I1186" s="18"/>
      <c r="J1186" s="18"/>
      <c r="K1186" s="18"/>
      <c r="L1186" s="25"/>
      <c r="M1186" s="6"/>
    </row>
    <row r="1187" s="4" customFormat="1" hidden="1" customHeight="1" spans="1:13">
      <c r="A1187" s="14" t="str">
        <f t="shared" si="24"/>
        <v>0x0000032C</v>
      </c>
      <c r="B1187" s="15">
        <f>SUM_HEX(C1186:F1186,B1186,3)</f>
        <v>812</v>
      </c>
      <c r="C1187" s="16" t="s">
        <v>274</v>
      </c>
      <c r="D1187" s="16"/>
      <c r="E1187" s="16"/>
      <c r="F1187" s="16"/>
      <c r="G1187" s="48"/>
      <c r="H1187" s="48"/>
      <c r="I1187" s="18"/>
      <c r="J1187" s="18"/>
      <c r="K1187" s="18"/>
      <c r="L1187" s="25"/>
      <c r="M1187" s="6"/>
    </row>
    <row r="1188" s="4" customFormat="1" hidden="1" customHeight="1" spans="1:13">
      <c r="A1188" s="14" t="str">
        <f t="shared" si="24"/>
        <v>0x00000330</v>
      </c>
      <c r="B1188" s="15">
        <f>SUM_HEX(C1187:F1187,B1187,3)</f>
        <v>816</v>
      </c>
      <c r="C1188" s="16" t="s">
        <v>23</v>
      </c>
      <c r="D1188" s="16"/>
      <c r="E1188" s="16"/>
      <c r="F1188" s="16"/>
      <c r="G1188" s="46" t="s">
        <v>157</v>
      </c>
      <c r="H1188" s="46" t="s">
        <v>212</v>
      </c>
      <c r="I1188" s="18" t="s">
        <v>419</v>
      </c>
      <c r="J1188" s="18"/>
      <c r="K1188" s="18"/>
      <c r="L1188" s="25"/>
      <c r="M1188" s="6"/>
    </row>
    <row r="1189" s="4" customFormat="1" hidden="1" customHeight="1" spans="1:13">
      <c r="A1189" s="14" t="str">
        <f t="shared" si="24"/>
        <v>0x00000334</v>
      </c>
      <c r="B1189" s="15">
        <f>SUM_HEX(C1188:F1188,B1188,3)</f>
        <v>820</v>
      </c>
      <c r="C1189" s="16" t="s">
        <v>420</v>
      </c>
      <c r="D1189" s="16"/>
      <c r="E1189" s="16"/>
      <c r="F1189" s="16"/>
      <c r="G1189" s="47"/>
      <c r="H1189" s="47"/>
      <c r="I1189" s="18"/>
      <c r="J1189" s="18"/>
      <c r="K1189" s="18"/>
      <c r="L1189" s="25"/>
      <c r="M1189" s="6"/>
    </row>
    <row r="1190" s="4" customFormat="1" hidden="1" customHeight="1" spans="1:13">
      <c r="A1190" s="14" t="str">
        <f t="shared" si="24"/>
        <v>0x00000338</v>
      </c>
      <c r="B1190" s="15">
        <f>SUM_HEX(C1189:F1189,B1189,3)</f>
        <v>824</v>
      </c>
      <c r="C1190" s="16" t="s">
        <v>23</v>
      </c>
      <c r="D1190" s="16" t="s">
        <v>23</v>
      </c>
      <c r="E1190" s="16"/>
      <c r="F1190" s="16"/>
      <c r="G1190" s="47"/>
      <c r="H1190" s="47"/>
      <c r="I1190" s="18"/>
      <c r="J1190" s="18"/>
      <c r="K1190" s="18"/>
      <c r="L1190" s="25"/>
      <c r="M1190" s="6"/>
    </row>
    <row r="1191" s="4" customFormat="1" hidden="1" customHeight="1" spans="1:13">
      <c r="A1191" s="14" t="str">
        <f t="shared" si="24"/>
        <v>0x00000340</v>
      </c>
      <c r="B1191" s="15">
        <f>SUM_HEX(C1190:F1190,B1190,3)</f>
        <v>832</v>
      </c>
      <c r="C1191" s="16" t="s">
        <v>274</v>
      </c>
      <c r="D1191" s="16"/>
      <c r="E1191" s="16"/>
      <c r="F1191" s="16"/>
      <c r="G1191" s="48"/>
      <c r="H1191" s="48"/>
      <c r="I1191" s="18"/>
      <c r="J1191" s="18"/>
      <c r="K1191" s="18"/>
      <c r="L1191" s="25"/>
      <c r="M1191" s="6"/>
    </row>
    <row r="1192" s="4" customFormat="1" hidden="1" customHeight="1" spans="1:13">
      <c r="A1192" s="14" t="str">
        <f t="shared" si="24"/>
        <v>0x00000344</v>
      </c>
      <c r="B1192" s="15">
        <f>SUM_HEX(C1191:F1191,B1191,3)</f>
        <v>836</v>
      </c>
      <c r="C1192" s="16" t="s">
        <v>23</v>
      </c>
      <c r="D1192" s="16"/>
      <c r="E1192" s="16"/>
      <c r="F1192" s="16"/>
      <c r="G1192" s="18" t="s">
        <v>15</v>
      </c>
      <c r="H1192" s="18"/>
      <c r="I1192" s="24" t="s">
        <v>421</v>
      </c>
      <c r="J1192" s="18"/>
      <c r="K1192" s="18" t="s">
        <v>416</v>
      </c>
      <c r="L1192" s="25"/>
      <c r="M1192" s="6"/>
    </row>
    <row r="1193" s="4" customFormat="1" hidden="1" customHeight="1" spans="1:13">
      <c r="A1193" s="14" t="str">
        <f t="shared" si="24"/>
        <v>0x00000348</v>
      </c>
      <c r="B1193" s="15">
        <f>SUM_HEX(C1192:F1192,B1192,3)</f>
        <v>840</v>
      </c>
      <c r="C1193" s="16" t="s">
        <v>23</v>
      </c>
      <c r="D1193" s="16"/>
      <c r="E1193" s="16"/>
      <c r="F1193" s="16"/>
      <c r="G1193" s="46" t="s">
        <v>157</v>
      </c>
      <c r="H1193" s="46" t="s">
        <v>212</v>
      </c>
      <c r="I1193" s="18" t="s">
        <v>422</v>
      </c>
      <c r="J1193" s="18"/>
      <c r="K1193" s="18"/>
      <c r="L1193" s="25"/>
      <c r="M1193" s="6"/>
    </row>
    <row r="1194" s="4" customFormat="1" hidden="1" customHeight="1" spans="1:13">
      <c r="A1194" s="14" t="str">
        <f t="shared" si="24"/>
        <v>0x0000034C</v>
      </c>
      <c r="B1194" s="15">
        <f>SUM_HEX(C1193:F1193,B1193,3)</f>
        <v>844</v>
      </c>
      <c r="C1194" s="16" t="s">
        <v>423</v>
      </c>
      <c r="D1194" s="16"/>
      <c r="E1194" s="16"/>
      <c r="F1194" s="16"/>
      <c r="G1194" s="47"/>
      <c r="H1194" s="47"/>
      <c r="I1194" s="18"/>
      <c r="J1194" s="18"/>
      <c r="K1194" s="18"/>
      <c r="L1194" s="25"/>
      <c r="M1194" s="6"/>
    </row>
    <row r="1195" s="4" customFormat="1" hidden="1" customHeight="1" spans="1:13">
      <c r="A1195" s="14" t="str">
        <f t="shared" si="24"/>
        <v>0x00000350</v>
      </c>
      <c r="B1195" s="15">
        <f>SUM_HEX(C1194:F1194,B1194,3)</f>
        <v>848</v>
      </c>
      <c r="C1195" s="16" t="s">
        <v>23</v>
      </c>
      <c r="D1195" s="16" t="s">
        <v>23</v>
      </c>
      <c r="E1195" s="16"/>
      <c r="F1195" s="16"/>
      <c r="G1195" s="47"/>
      <c r="H1195" s="47"/>
      <c r="I1195" s="18"/>
      <c r="J1195" s="18"/>
      <c r="K1195" s="18"/>
      <c r="L1195" s="25"/>
      <c r="M1195" s="6"/>
    </row>
    <row r="1196" s="4" customFormat="1" hidden="1" customHeight="1" spans="1:13">
      <c r="A1196" s="14" t="str">
        <f t="shared" si="24"/>
        <v>0x00000358</v>
      </c>
      <c r="B1196" s="15">
        <f>SUM_HEX(C1195:F1195,B1195,3)</f>
        <v>856</v>
      </c>
      <c r="C1196" s="16" t="s">
        <v>274</v>
      </c>
      <c r="D1196" s="16"/>
      <c r="E1196" s="16"/>
      <c r="F1196" s="16"/>
      <c r="G1196" s="48"/>
      <c r="H1196" s="48"/>
      <c r="I1196" s="18"/>
      <c r="J1196" s="18"/>
      <c r="K1196" s="18"/>
      <c r="L1196" s="25"/>
      <c r="M1196" s="6"/>
    </row>
    <row r="1197" s="4" customFormat="1" hidden="1" customHeight="1" spans="1:13">
      <c r="A1197" s="14" t="str">
        <f t="shared" si="24"/>
        <v>0x0000035C</v>
      </c>
      <c r="B1197" s="15">
        <f>SUM_HEX(C1196:F1196,B1196,3)</f>
        <v>860</v>
      </c>
      <c r="C1197" s="16" t="s">
        <v>23</v>
      </c>
      <c r="D1197" s="16"/>
      <c r="E1197" s="16"/>
      <c r="F1197" s="16"/>
      <c r="G1197" s="46" t="s">
        <v>157</v>
      </c>
      <c r="H1197" s="46" t="s">
        <v>212</v>
      </c>
      <c r="I1197" s="18" t="s">
        <v>424</v>
      </c>
      <c r="J1197" s="18"/>
      <c r="K1197" s="18"/>
      <c r="L1197" s="25"/>
      <c r="M1197" s="6"/>
    </row>
    <row r="1198" s="4" customFormat="1" hidden="1" customHeight="1" spans="1:13">
      <c r="A1198" s="14" t="str">
        <f t="shared" si="24"/>
        <v>0x00000360</v>
      </c>
      <c r="B1198" s="15">
        <f>SUM_HEX(C1197:F1197,B1197,3)</f>
        <v>864</v>
      </c>
      <c r="C1198" s="16" t="s">
        <v>425</v>
      </c>
      <c r="D1198" s="16"/>
      <c r="E1198" s="16"/>
      <c r="F1198" s="16"/>
      <c r="G1198" s="47"/>
      <c r="H1198" s="47"/>
      <c r="I1198" s="18"/>
      <c r="J1198" s="18"/>
      <c r="K1198" s="18"/>
      <c r="L1198" s="25"/>
      <c r="M1198" s="6"/>
    </row>
    <row r="1199" s="4" customFormat="1" hidden="1" customHeight="1" spans="1:13">
      <c r="A1199" s="14" t="str">
        <f t="shared" si="24"/>
        <v>0x00000364</v>
      </c>
      <c r="B1199" s="15">
        <f>SUM_HEX(C1198:F1198,B1198,3)</f>
        <v>868</v>
      </c>
      <c r="C1199" s="16" t="s">
        <v>23</v>
      </c>
      <c r="D1199" s="16" t="s">
        <v>23</v>
      </c>
      <c r="E1199" s="16"/>
      <c r="F1199" s="16"/>
      <c r="G1199" s="47"/>
      <c r="H1199" s="47"/>
      <c r="I1199" s="18"/>
      <c r="J1199" s="18"/>
      <c r="K1199" s="18"/>
      <c r="L1199" s="25"/>
      <c r="M1199" s="6"/>
    </row>
    <row r="1200" s="4" customFormat="1" hidden="1" customHeight="1" spans="1:13">
      <c r="A1200" s="14" t="str">
        <f t="shared" si="24"/>
        <v>0x0000036C</v>
      </c>
      <c r="B1200" s="15">
        <f>SUM_HEX(C1199:F1199,B1199,3)</f>
        <v>876</v>
      </c>
      <c r="C1200" s="16" t="s">
        <v>274</v>
      </c>
      <c r="D1200" s="16"/>
      <c r="E1200" s="16"/>
      <c r="F1200" s="16"/>
      <c r="G1200" s="48"/>
      <c r="H1200" s="48"/>
      <c r="I1200" s="18"/>
      <c r="J1200" s="18"/>
      <c r="K1200" s="18"/>
      <c r="L1200" s="25"/>
      <c r="M1200" s="6"/>
    </row>
    <row r="1201" s="4" customFormat="1" hidden="1" customHeight="1" spans="1:13">
      <c r="A1201" s="14" t="str">
        <f t="shared" si="24"/>
        <v>0x00000370</v>
      </c>
      <c r="B1201" s="15">
        <f>SUM_HEX(C1200:F1200,B1200,3)</f>
        <v>880</v>
      </c>
      <c r="C1201" s="16" t="s">
        <v>23</v>
      </c>
      <c r="D1201" s="16"/>
      <c r="E1201" s="16"/>
      <c r="F1201" s="16"/>
      <c r="G1201" s="18" t="s">
        <v>15</v>
      </c>
      <c r="H1201" s="18"/>
      <c r="I1201" s="24" t="s">
        <v>426</v>
      </c>
      <c r="J1201" s="18"/>
      <c r="K1201" s="18" t="s">
        <v>416</v>
      </c>
      <c r="L1201" s="25"/>
      <c r="M1201" s="6"/>
    </row>
    <row r="1202" s="4" customFormat="1" hidden="1" customHeight="1" spans="1:13">
      <c r="A1202" s="14" t="str">
        <f t="shared" si="24"/>
        <v>0x00000374</v>
      </c>
      <c r="B1202" s="15">
        <f>SUM_HEX(C1201:F1201,B1201,3)</f>
        <v>884</v>
      </c>
      <c r="C1202" s="16" t="s">
        <v>23</v>
      </c>
      <c r="D1202" s="16"/>
      <c r="E1202" s="16"/>
      <c r="F1202" s="16"/>
      <c r="G1202" s="46" t="s">
        <v>157</v>
      </c>
      <c r="H1202" s="46" t="s">
        <v>212</v>
      </c>
      <c r="I1202" s="18" t="s">
        <v>427</v>
      </c>
      <c r="J1202" s="18"/>
      <c r="K1202" s="18"/>
      <c r="L1202" s="25"/>
      <c r="M1202" s="6"/>
    </row>
    <row r="1203" s="4" customFormat="1" hidden="1" customHeight="1" spans="1:13">
      <c r="A1203" s="14" t="str">
        <f t="shared" si="24"/>
        <v>0x00000378</v>
      </c>
      <c r="B1203" s="15">
        <f>SUM_HEX(C1202:F1202,B1202,3)</f>
        <v>888</v>
      </c>
      <c r="C1203" s="16" t="s">
        <v>428</v>
      </c>
      <c r="D1203" s="16"/>
      <c r="E1203" s="16"/>
      <c r="F1203" s="16"/>
      <c r="G1203" s="47"/>
      <c r="H1203" s="47"/>
      <c r="I1203" s="18"/>
      <c r="J1203" s="18"/>
      <c r="K1203" s="18"/>
      <c r="L1203" s="25"/>
      <c r="M1203" s="6"/>
    </row>
    <row r="1204" s="4" customFormat="1" hidden="1" customHeight="1" spans="1:13">
      <c r="A1204" s="14" t="str">
        <f t="shared" si="24"/>
        <v>0x0000037C</v>
      </c>
      <c r="B1204" s="15">
        <f>SUM_HEX(C1203:F1203,B1203,3)</f>
        <v>892</v>
      </c>
      <c r="C1204" s="16" t="s">
        <v>23</v>
      </c>
      <c r="D1204" s="16" t="s">
        <v>23</v>
      </c>
      <c r="E1204" s="16"/>
      <c r="F1204" s="16"/>
      <c r="G1204" s="47"/>
      <c r="H1204" s="47"/>
      <c r="I1204" s="18"/>
      <c r="J1204" s="18"/>
      <c r="K1204" s="18"/>
      <c r="L1204" s="25"/>
      <c r="M1204" s="6"/>
    </row>
    <row r="1205" s="4" customFormat="1" hidden="1" customHeight="1" spans="1:13">
      <c r="A1205" s="14" t="str">
        <f t="shared" si="24"/>
        <v>0x00000384</v>
      </c>
      <c r="B1205" s="15">
        <f>SUM_HEX(C1204:F1204,B1204,3)</f>
        <v>900</v>
      </c>
      <c r="C1205" s="16" t="s">
        <v>274</v>
      </c>
      <c r="D1205" s="16"/>
      <c r="E1205" s="16"/>
      <c r="F1205" s="16"/>
      <c r="G1205" s="48"/>
      <c r="H1205" s="48"/>
      <c r="I1205" s="18"/>
      <c r="J1205" s="18"/>
      <c r="K1205" s="18"/>
      <c r="L1205" s="25"/>
      <c r="M1205" s="6"/>
    </row>
    <row r="1206" s="4" customFormat="1" hidden="1" customHeight="1" spans="1:13">
      <c r="A1206" s="14" t="str">
        <f t="shared" si="24"/>
        <v>0x00000388</v>
      </c>
      <c r="B1206" s="15">
        <f>SUM_HEX(C1205:F1205,B1205,3)</f>
        <v>904</v>
      </c>
      <c r="C1206" s="16" t="s">
        <v>23</v>
      </c>
      <c r="D1206" s="16"/>
      <c r="E1206" s="16"/>
      <c r="F1206" s="16"/>
      <c r="G1206" s="46" t="s">
        <v>157</v>
      </c>
      <c r="H1206" s="46" t="s">
        <v>212</v>
      </c>
      <c r="I1206" s="18" t="s">
        <v>429</v>
      </c>
      <c r="J1206" s="18"/>
      <c r="K1206" s="18"/>
      <c r="L1206" s="25"/>
      <c r="M1206" s="6"/>
    </row>
    <row r="1207" s="4" customFormat="1" hidden="1" customHeight="1" spans="1:13">
      <c r="A1207" s="14" t="str">
        <f t="shared" si="24"/>
        <v>0x0000038C</v>
      </c>
      <c r="B1207" s="15">
        <f>SUM_HEX(C1206:F1206,B1206,3)</f>
        <v>908</v>
      </c>
      <c r="C1207" s="16" t="s">
        <v>430</v>
      </c>
      <c r="D1207" s="16"/>
      <c r="E1207" s="16"/>
      <c r="F1207" s="16"/>
      <c r="G1207" s="47"/>
      <c r="H1207" s="47"/>
      <c r="I1207" s="18"/>
      <c r="J1207" s="18"/>
      <c r="K1207" s="18"/>
      <c r="L1207" s="25"/>
      <c r="M1207" s="6"/>
    </row>
    <row r="1208" s="4" customFormat="1" hidden="1" customHeight="1" spans="1:13">
      <c r="A1208" s="14" t="str">
        <f t="shared" si="24"/>
        <v>0x00000390</v>
      </c>
      <c r="B1208" s="15">
        <f>SUM_HEX(C1207:F1207,B1207,3)</f>
        <v>912</v>
      </c>
      <c r="C1208" s="16" t="s">
        <v>23</v>
      </c>
      <c r="D1208" s="16" t="s">
        <v>23</v>
      </c>
      <c r="E1208" s="16"/>
      <c r="F1208" s="16"/>
      <c r="G1208" s="47"/>
      <c r="H1208" s="47"/>
      <c r="I1208" s="18"/>
      <c r="J1208" s="18"/>
      <c r="K1208" s="18"/>
      <c r="L1208" s="25"/>
      <c r="M1208" s="6"/>
    </row>
    <row r="1209" s="4" customFormat="1" hidden="1" customHeight="1" spans="1:13">
      <c r="A1209" s="14" t="str">
        <f t="shared" si="24"/>
        <v>0x00000398</v>
      </c>
      <c r="B1209" s="15">
        <f>SUM_HEX(C1208:F1208,B1208,3)</f>
        <v>920</v>
      </c>
      <c r="C1209" s="16" t="s">
        <v>274</v>
      </c>
      <c r="D1209" s="16"/>
      <c r="E1209" s="16"/>
      <c r="F1209" s="16"/>
      <c r="G1209" s="48"/>
      <c r="H1209" s="48"/>
      <c r="I1209" s="18"/>
      <c r="J1209" s="18"/>
      <c r="K1209" s="18"/>
      <c r="L1209" s="25"/>
      <c r="M1209" s="6"/>
    </row>
    <row r="1210" s="4" customFormat="1" hidden="1" customHeight="1" spans="1:13">
      <c r="A1210" s="14" t="str">
        <f t="shared" si="24"/>
        <v>0x0000039C</v>
      </c>
      <c r="B1210" s="15">
        <f>SUM_HEX(C1209:F1209,B1209,3)</f>
        <v>924</v>
      </c>
      <c r="C1210" s="16" t="s">
        <v>23</v>
      </c>
      <c r="D1210" s="16"/>
      <c r="E1210" s="16"/>
      <c r="F1210" s="16"/>
      <c r="G1210" s="18" t="s">
        <v>15</v>
      </c>
      <c r="H1210" s="18"/>
      <c r="I1210" s="24" t="s">
        <v>431</v>
      </c>
      <c r="J1210" s="18"/>
      <c r="K1210" s="18" t="s">
        <v>416</v>
      </c>
      <c r="L1210" s="25"/>
      <c r="M1210" s="6"/>
    </row>
    <row r="1211" s="4" customFormat="1" hidden="1" customHeight="1" spans="1:13">
      <c r="A1211" s="14" t="str">
        <f t="shared" si="24"/>
        <v>0x000003A0</v>
      </c>
      <c r="B1211" s="15">
        <f>SUM_HEX(C1210:F1210,B1210,3)</f>
        <v>928</v>
      </c>
      <c r="C1211" s="16" t="s">
        <v>23</v>
      </c>
      <c r="D1211" s="16"/>
      <c r="E1211" s="16"/>
      <c r="F1211" s="16"/>
      <c r="G1211" s="46" t="s">
        <v>157</v>
      </c>
      <c r="H1211" s="46" t="s">
        <v>212</v>
      </c>
      <c r="I1211" s="18" t="s">
        <v>432</v>
      </c>
      <c r="J1211" s="18"/>
      <c r="K1211" s="18"/>
      <c r="L1211" s="25"/>
      <c r="M1211" s="6"/>
    </row>
    <row r="1212" s="4" customFormat="1" hidden="1" customHeight="1" spans="1:13">
      <c r="A1212" s="14" t="str">
        <f t="shared" si="24"/>
        <v>0x000003A4</v>
      </c>
      <c r="B1212" s="15">
        <f>SUM_HEX(C1211:F1211,B1211,3)</f>
        <v>932</v>
      </c>
      <c r="C1212" s="16" t="s">
        <v>433</v>
      </c>
      <c r="D1212" s="16"/>
      <c r="E1212" s="16"/>
      <c r="F1212" s="16"/>
      <c r="G1212" s="47"/>
      <c r="H1212" s="47"/>
      <c r="I1212" s="18"/>
      <c r="J1212" s="18"/>
      <c r="K1212" s="18"/>
      <c r="L1212" s="25"/>
      <c r="M1212" s="6"/>
    </row>
    <row r="1213" s="4" customFormat="1" hidden="1" customHeight="1" spans="1:13">
      <c r="A1213" s="14" t="str">
        <f t="shared" si="24"/>
        <v>0x000003A8</v>
      </c>
      <c r="B1213" s="15">
        <f>SUM_HEX(C1212:F1212,B1212,3)</f>
        <v>936</v>
      </c>
      <c r="C1213" s="16" t="s">
        <v>23</v>
      </c>
      <c r="D1213" s="16" t="s">
        <v>23</v>
      </c>
      <c r="E1213" s="16"/>
      <c r="F1213" s="16"/>
      <c r="G1213" s="47"/>
      <c r="H1213" s="47"/>
      <c r="I1213" s="18"/>
      <c r="J1213" s="18"/>
      <c r="K1213" s="18"/>
      <c r="L1213" s="25"/>
      <c r="M1213" s="6"/>
    </row>
    <row r="1214" s="4" customFormat="1" hidden="1" customHeight="1" spans="1:13">
      <c r="A1214" s="14" t="str">
        <f t="shared" si="24"/>
        <v>0x000003B0</v>
      </c>
      <c r="B1214" s="15">
        <f>SUM_HEX(C1213:F1213,B1213,3)</f>
        <v>944</v>
      </c>
      <c r="C1214" s="16" t="s">
        <v>274</v>
      </c>
      <c r="D1214" s="16"/>
      <c r="E1214" s="16"/>
      <c r="F1214" s="16"/>
      <c r="G1214" s="48"/>
      <c r="H1214" s="48"/>
      <c r="I1214" s="18"/>
      <c r="J1214" s="18"/>
      <c r="K1214" s="18"/>
      <c r="L1214" s="25"/>
      <c r="M1214" s="6"/>
    </row>
    <row r="1215" s="4" customFormat="1" hidden="1" customHeight="1" spans="1:13">
      <c r="A1215" s="14" t="str">
        <f t="shared" si="24"/>
        <v>0x000003B4</v>
      </c>
      <c r="B1215" s="15">
        <f>SUM_HEX(C1214:F1214,B1214,3)</f>
        <v>948</v>
      </c>
      <c r="C1215" s="16" t="s">
        <v>23</v>
      </c>
      <c r="D1215" s="16"/>
      <c r="E1215" s="16"/>
      <c r="F1215" s="16"/>
      <c r="G1215" s="46" t="s">
        <v>157</v>
      </c>
      <c r="H1215" s="46" t="s">
        <v>212</v>
      </c>
      <c r="I1215" s="18" t="s">
        <v>434</v>
      </c>
      <c r="J1215" s="18"/>
      <c r="K1215" s="18"/>
      <c r="L1215" s="25"/>
      <c r="M1215" s="6"/>
    </row>
    <row r="1216" s="4" customFormat="1" hidden="1" customHeight="1" spans="1:13">
      <c r="A1216" s="14" t="str">
        <f t="shared" si="24"/>
        <v>0x000003B8</v>
      </c>
      <c r="B1216" s="15">
        <f>SUM_HEX(C1215:F1215,B1215,3)</f>
        <v>952</v>
      </c>
      <c r="C1216" s="16" t="s">
        <v>435</v>
      </c>
      <c r="D1216" s="16"/>
      <c r="E1216" s="16"/>
      <c r="F1216" s="16"/>
      <c r="G1216" s="47"/>
      <c r="H1216" s="47"/>
      <c r="I1216" s="18"/>
      <c r="J1216" s="18"/>
      <c r="K1216" s="18"/>
      <c r="L1216" s="25"/>
      <c r="M1216" s="6"/>
    </row>
    <row r="1217" s="4" customFormat="1" hidden="1" customHeight="1" spans="1:13">
      <c r="A1217" s="14" t="str">
        <f t="shared" si="24"/>
        <v>0x000003BC</v>
      </c>
      <c r="B1217" s="15">
        <f>SUM_HEX(C1216:F1216,B1216,3)</f>
        <v>956</v>
      </c>
      <c r="C1217" s="16" t="s">
        <v>23</v>
      </c>
      <c r="D1217" s="16" t="s">
        <v>23</v>
      </c>
      <c r="E1217" s="16"/>
      <c r="F1217" s="16"/>
      <c r="G1217" s="47"/>
      <c r="H1217" s="47"/>
      <c r="I1217" s="18"/>
      <c r="J1217" s="18"/>
      <c r="K1217" s="18"/>
      <c r="L1217" s="25"/>
      <c r="M1217" s="6"/>
    </row>
    <row r="1218" s="4" customFormat="1" hidden="1" customHeight="1" spans="1:13">
      <c r="A1218" s="14" t="str">
        <f t="shared" si="24"/>
        <v>0x000003C4</v>
      </c>
      <c r="B1218" s="15">
        <f>SUM_HEX(C1217:F1217,B1217,3)</f>
        <v>964</v>
      </c>
      <c r="C1218" s="16" t="s">
        <v>274</v>
      </c>
      <c r="D1218" s="16"/>
      <c r="E1218" s="16"/>
      <c r="F1218" s="16"/>
      <c r="G1218" s="48"/>
      <c r="H1218" s="48"/>
      <c r="I1218" s="18"/>
      <c r="J1218" s="18"/>
      <c r="K1218" s="18"/>
      <c r="L1218" s="25"/>
      <c r="M1218" s="6"/>
    </row>
    <row r="1219" s="4" customFormat="1" hidden="1" customHeight="1" spans="1:13">
      <c r="A1219" s="14" t="str">
        <f t="shared" si="24"/>
        <v>0x000003C8</v>
      </c>
      <c r="B1219" s="15">
        <f>SUM_HEX(C1218:F1218,B1218,3)</f>
        <v>968</v>
      </c>
      <c r="C1219" s="16" t="s">
        <v>23</v>
      </c>
      <c r="D1219" s="16"/>
      <c r="E1219" s="16"/>
      <c r="F1219" s="16"/>
      <c r="G1219" s="18" t="s">
        <v>15</v>
      </c>
      <c r="H1219" s="18"/>
      <c r="I1219" s="24" t="s">
        <v>436</v>
      </c>
      <c r="J1219" s="18"/>
      <c r="K1219" s="18" t="s">
        <v>416</v>
      </c>
      <c r="L1219" s="25"/>
      <c r="M1219" s="6"/>
    </row>
    <row r="1220" s="4" customFormat="1" hidden="1" customHeight="1" spans="1:13">
      <c r="A1220" s="14" t="str">
        <f t="shared" si="24"/>
        <v>0x000003CC</v>
      </c>
      <c r="B1220" s="15">
        <f>SUM_HEX(C1219:F1219,B1219,3)</f>
        <v>972</v>
      </c>
      <c r="C1220" s="16" t="s">
        <v>23</v>
      </c>
      <c r="D1220" s="16"/>
      <c r="E1220" s="16"/>
      <c r="F1220" s="16"/>
      <c r="G1220" s="46" t="s">
        <v>157</v>
      </c>
      <c r="H1220" s="46" t="s">
        <v>212</v>
      </c>
      <c r="I1220" s="18" t="s">
        <v>437</v>
      </c>
      <c r="J1220" s="18"/>
      <c r="K1220" s="18"/>
      <c r="L1220" s="25"/>
      <c r="M1220" s="6"/>
    </row>
    <row r="1221" s="4" customFormat="1" hidden="1" customHeight="1" spans="1:13">
      <c r="A1221" s="14" t="str">
        <f t="shared" si="24"/>
        <v>0x000003D0</v>
      </c>
      <c r="B1221" s="15">
        <f>SUM_HEX(C1220:F1220,B1220,3)</f>
        <v>976</v>
      </c>
      <c r="C1221" s="16" t="s">
        <v>438</v>
      </c>
      <c r="D1221" s="16"/>
      <c r="E1221" s="16"/>
      <c r="F1221" s="16"/>
      <c r="G1221" s="47"/>
      <c r="H1221" s="47"/>
      <c r="I1221" s="18"/>
      <c r="J1221" s="18"/>
      <c r="K1221" s="18"/>
      <c r="L1221" s="25"/>
      <c r="M1221" s="6"/>
    </row>
    <row r="1222" s="4" customFormat="1" hidden="1" customHeight="1" spans="1:13">
      <c r="A1222" s="14" t="str">
        <f t="shared" ref="A1222:A1272" si="25">"0x"&amp;DEC2HEX(B1222,8)</f>
        <v>0x000003D4</v>
      </c>
      <c r="B1222" s="15">
        <f>SUM_HEX(C1221:F1221,B1221,3)</f>
        <v>980</v>
      </c>
      <c r="C1222" s="16" t="s">
        <v>23</v>
      </c>
      <c r="D1222" s="16" t="s">
        <v>23</v>
      </c>
      <c r="E1222" s="16"/>
      <c r="F1222" s="16"/>
      <c r="G1222" s="47"/>
      <c r="H1222" s="47"/>
      <c r="I1222" s="18"/>
      <c r="J1222" s="18"/>
      <c r="K1222" s="18"/>
      <c r="L1222" s="25"/>
      <c r="M1222" s="6"/>
    </row>
    <row r="1223" s="4" customFormat="1" hidden="1" customHeight="1" spans="1:13">
      <c r="A1223" s="14" t="str">
        <f t="shared" si="25"/>
        <v>0x000003DC</v>
      </c>
      <c r="B1223" s="15">
        <f>SUM_HEX(C1222:F1222,B1222,3)</f>
        <v>988</v>
      </c>
      <c r="C1223" s="16" t="s">
        <v>274</v>
      </c>
      <c r="D1223" s="16"/>
      <c r="E1223" s="16"/>
      <c r="F1223" s="16"/>
      <c r="G1223" s="48"/>
      <c r="H1223" s="48"/>
      <c r="I1223" s="18"/>
      <c r="J1223" s="18"/>
      <c r="K1223" s="18"/>
      <c r="L1223" s="25"/>
      <c r="M1223" s="6"/>
    </row>
    <row r="1224" s="4" customFormat="1" hidden="1" customHeight="1" spans="1:13">
      <c r="A1224" s="14" t="str">
        <f t="shared" si="25"/>
        <v>0x000003E0</v>
      </c>
      <c r="B1224" s="15">
        <f>SUM_HEX(C1223:F1223,B1223,3)</f>
        <v>992</v>
      </c>
      <c r="C1224" s="16" t="s">
        <v>23</v>
      </c>
      <c r="D1224" s="16"/>
      <c r="E1224" s="16"/>
      <c r="F1224" s="16"/>
      <c r="G1224" s="46" t="s">
        <v>157</v>
      </c>
      <c r="H1224" s="46" t="s">
        <v>212</v>
      </c>
      <c r="I1224" s="18" t="s">
        <v>439</v>
      </c>
      <c r="J1224" s="18"/>
      <c r="K1224" s="18"/>
      <c r="L1224" s="25"/>
      <c r="M1224" s="6"/>
    </row>
    <row r="1225" s="4" customFormat="1" hidden="1" customHeight="1" spans="1:13">
      <c r="A1225" s="14" t="str">
        <f t="shared" si="25"/>
        <v>0x000003E4</v>
      </c>
      <c r="B1225" s="15">
        <f>SUM_HEX(C1224:F1224,B1224,3)</f>
        <v>996</v>
      </c>
      <c r="C1225" s="16" t="s">
        <v>440</v>
      </c>
      <c r="D1225" s="16"/>
      <c r="E1225" s="16"/>
      <c r="F1225" s="16"/>
      <c r="G1225" s="47"/>
      <c r="H1225" s="47"/>
      <c r="I1225" s="18"/>
      <c r="J1225" s="18"/>
      <c r="K1225" s="18"/>
      <c r="L1225" s="25"/>
      <c r="M1225" s="6"/>
    </row>
    <row r="1226" s="4" customFormat="1" hidden="1" customHeight="1" spans="1:13">
      <c r="A1226" s="14" t="str">
        <f t="shared" si="25"/>
        <v>0x000003E8</v>
      </c>
      <c r="B1226" s="15">
        <f>SUM_HEX(C1225:F1225,B1225,3)</f>
        <v>1000</v>
      </c>
      <c r="C1226" s="16" t="s">
        <v>23</v>
      </c>
      <c r="D1226" s="16" t="s">
        <v>23</v>
      </c>
      <c r="E1226" s="16"/>
      <c r="F1226" s="16"/>
      <c r="G1226" s="47"/>
      <c r="H1226" s="47"/>
      <c r="I1226" s="18"/>
      <c r="J1226" s="18"/>
      <c r="K1226" s="18"/>
      <c r="L1226" s="25"/>
      <c r="M1226" s="6"/>
    </row>
    <row r="1227" s="4" customFormat="1" hidden="1" customHeight="1" spans="1:13">
      <c r="A1227" s="14" t="str">
        <f t="shared" si="25"/>
        <v>0x000003F0</v>
      </c>
      <c r="B1227" s="15">
        <f>SUM_HEX(C1226:F1226,B1226,3)</f>
        <v>1008</v>
      </c>
      <c r="C1227" s="16" t="s">
        <v>274</v>
      </c>
      <c r="D1227" s="16"/>
      <c r="E1227" s="16"/>
      <c r="F1227" s="16"/>
      <c r="G1227" s="48"/>
      <c r="H1227" s="48"/>
      <c r="I1227" s="18"/>
      <c r="J1227" s="18"/>
      <c r="K1227" s="18"/>
      <c r="L1227" s="25"/>
      <c r="M1227" s="6"/>
    </row>
    <row r="1228" s="4" customFormat="1" hidden="1" customHeight="1" spans="1:13">
      <c r="A1228" s="14" t="str">
        <f t="shared" si="25"/>
        <v>0x000003F4</v>
      </c>
      <c r="B1228" s="15">
        <f>SUM_HEX(C1227:F1227,B1227,3)</f>
        <v>1012</v>
      </c>
      <c r="C1228" s="16" t="s">
        <v>23</v>
      </c>
      <c r="D1228" s="16"/>
      <c r="E1228" s="16"/>
      <c r="F1228" s="16"/>
      <c r="G1228" s="18" t="s">
        <v>15</v>
      </c>
      <c r="H1228" s="18"/>
      <c r="I1228" s="24"/>
      <c r="J1228" s="18"/>
      <c r="K1228" s="18"/>
      <c r="L1228" s="25"/>
      <c r="M1228" s="6"/>
    </row>
    <row r="1229" s="4" customFormat="1" hidden="1" customHeight="1" spans="1:13">
      <c r="A1229" s="14" t="str">
        <f t="shared" si="25"/>
        <v>0x000003F8</v>
      </c>
      <c r="B1229" s="15">
        <f>SUM_HEX(C1228:F1228,B1228,3)</f>
        <v>1016</v>
      </c>
      <c r="C1229" s="16" t="s">
        <v>23</v>
      </c>
      <c r="D1229" s="16"/>
      <c r="E1229" s="16"/>
      <c r="F1229" s="16"/>
      <c r="G1229" s="46" t="s">
        <v>157</v>
      </c>
      <c r="H1229" s="46"/>
      <c r="I1229" s="18"/>
      <c r="J1229" s="18"/>
      <c r="K1229" s="18"/>
      <c r="L1229" s="25"/>
      <c r="M1229" s="6"/>
    </row>
    <row r="1230" s="4" customFormat="1" hidden="1" customHeight="1" spans="1:13">
      <c r="A1230" s="14" t="str">
        <f t="shared" si="25"/>
        <v>0x000003FC</v>
      </c>
      <c r="B1230" s="15">
        <f>SUM_HEX(C1229:F1229,B1229,3)</f>
        <v>1020</v>
      </c>
      <c r="C1230" s="16" t="s">
        <v>441</v>
      </c>
      <c r="D1230" s="16"/>
      <c r="E1230" s="16"/>
      <c r="F1230" s="16"/>
      <c r="G1230" s="47"/>
      <c r="H1230" s="47"/>
      <c r="I1230" s="18"/>
      <c r="J1230" s="18"/>
      <c r="K1230" s="18"/>
      <c r="L1230" s="25"/>
      <c r="M1230" s="6"/>
    </row>
    <row r="1231" s="4" customFormat="1" hidden="1" customHeight="1" spans="1:13">
      <c r="A1231" s="14" t="str">
        <f t="shared" si="25"/>
        <v>0x00000400</v>
      </c>
      <c r="B1231" s="15">
        <f>SUM_HEX(C1230:F1230,B1230,3)</f>
        <v>1024</v>
      </c>
      <c r="C1231" s="16" t="s">
        <v>23</v>
      </c>
      <c r="D1231" s="16" t="s">
        <v>23</v>
      </c>
      <c r="E1231" s="16"/>
      <c r="F1231" s="16"/>
      <c r="G1231" s="47"/>
      <c r="H1231" s="47"/>
      <c r="I1231" s="18"/>
      <c r="J1231" s="18"/>
      <c r="K1231" s="18"/>
      <c r="L1231" s="25"/>
      <c r="M1231" s="6"/>
    </row>
    <row r="1232" s="4" customFormat="1" hidden="1" customHeight="1" spans="1:13">
      <c r="A1232" s="14" t="str">
        <f t="shared" si="25"/>
        <v>0x00000408</v>
      </c>
      <c r="B1232" s="15">
        <f>SUM_HEX(C1231:F1231,B1231,3)</f>
        <v>1032</v>
      </c>
      <c r="C1232" s="16" t="s">
        <v>274</v>
      </c>
      <c r="D1232" s="16"/>
      <c r="E1232" s="16"/>
      <c r="F1232" s="16"/>
      <c r="G1232" s="48"/>
      <c r="H1232" s="48"/>
      <c r="I1232" s="18"/>
      <c r="J1232" s="18"/>
      <c r="K1232" s="18"/>
      <c r="L1232" s="25"/>
      <c r="M1232" s="6"/>
    </row>
    <row r="1233" s="4" customFormat="1" hidden="1" customHeight="1" spans="1:13">
      <c r="A1233" s="14" t="str">
        <f t="shared" si="25"/>
        <v>0x0000040C</v>
      </c>
      <c r="B1233" s="15">
        <f>SUM_HEX(C1232:F1232,B1232,3)</f>
        <v>1036</v>
      </c>
      <c r="C1233" s="16" t="s">
        <v>23</v>
      </c>
      <c r="D1233" s="16"/>
      <c r="E1233" s="16"/>
      <c r="F1233" s="16"/>
      <c r="G1233" s="46" t="s">
        <v>157</v>
      </c>
      <c r="H1233" s="46"/>
      <c r="I1233" s="18"/>
      <c r="J1233" s="18"/>
      <c r="K1233" s="18"/>
      <c r="L1233" s="25"/>
      <c r="M1233" s="6"/>
    </row>
    <row r="1234" s="4" customFormat="1" hidden="1" customHeight="1" spans="1:13">
      <c r="A1234" s="14" t="str">
        <f t="shared" si="25"/>
        <v>0x00000410</v>
      </c>
      <c r="B1234" s="15">
        <f>SUM_HEX(C1233:F1233,B1233,3)</f>
        <v>1040</v>
      </c>
      <c r="C1234" s="16" t="s">
        <v>442</v>
      </c>
      <c r="D1234" s="16"/>
      <c r="E1234" s="16"/>
      <c r="F1234" s="16"/>
      <c r="G1234" s="47"/>
      <c r="H1234" s="47"/>
      <c r="I1234" s="18"/>
      <c r="J1234" s="18"/>
      <c r="K1234" s="18"/>
      <c r="L1234" s="25"/>
      <c r="M1234" s="6"/>
    </row>
    <row r="1235" s="4" customFormat="1" hidden="1" customHeight="1" spans="1:13">
      <c r="A1235" s="14" t="str">
        <f t="shared" si="25"/>
        <v>0x00000414</v>
      </c>
      <c r="B1235" s="15">
        <f>SUM_HEX(C1234:F1234,B1234,3)</f>
        <v>1044</v>
      </c>
      <c r="C1235" s="16" t="s">
        <v>23</v>
      </c>
      <c r="D1235" s="16" t="s">
        <v>23</v>
      </c>
      <c r="E1235" s="16"/>
      <c r="F1235" s="16"/>
      <c r="G1235" s="47"/>
      <c r="H1235" s="47"/>
      <c r="I1235" s="18"/>
      <c r="J1235" s="18"/>
      <c r="K1235" s="18"/>
      <c r="L1235" s="25"/>
      <c r="M1235" s="6"/>
    </row>
    <row r="1236" s="4" customFormat="1" hidden="1" customHeight="1" spans="1:13">
      <c r="A1236" s="14" t="str">
        <f t="shared" si="25"/>
        <v>0x0000041C</v>
      </c>
      <c r="B1236" s="15">
        <f>SUM_HEX(C1235:F1235,B1235,3)</f>
        <v>1052</v>
      </c>
      <c r="C1236" s="16" t="s">
        <v>274</v>
      </c>
      <c r="D1236" s="16"/>
      <c r="E1236" s="16"/>
      <c r="F1236" s="16"/>
      <c r="G1236" s="48"/>
      <c r="H1236" s="48"/>
      <c r="I1236" s="18"/>
      <c r="J1236" s="18"/>
      <c r="K1236" s="18"/>
      <c r="L1236" s="25"/>
      <c r="M1236" s="6"/>
    </row>
    <row r="1237" s="4" customFormat="1" hidden="1" customHeight="1" spans="1:13">
      <c r="A1237" s="14" t="str">
        <f t="shared" si="25"/>
        <v>0x00000420</v>
      </c>
      <c r="B1237" s="15">
        <f>SUM_HEX(C1236:F1236,B1236,3)</f>
        <v>1056</v>
      </c>
      <c r="C1237" s="16" t="s">
        <v>23</v>
      </c>
      <c r="D1237" s="16"/>
      <c r="E1237" s="16"/>
      <c r="F1237" s="16"/>
      <c r="G1237" s="18" t="s">
        <v>15</v>
      </c>
      <c r="H1237" s="18"/>
      <c r="I1237" s="24" t="s">
        <v>443</v>
      </c>
      <c r="J1237" s="18"/>
      <c r="K1237" s="18" t="s">
        <v>416</v>
      </c>
      <c r="L1237" s="25"/>
      <c r="M1237" s="6"/>
    </row>
    <row r="1238" s="4" customFormat="1" hidden="1" customHeight="1" spans="1:13">
      <c r="A1238" s="14" t="str">
        <f t="shared" si="25"/>
        <v>0x00000424</v>
      </c>
      <c r="B1238" s="15">
        <f>SUM_HEX(C1237:F1237,B1237,3)</f>
        <v>1060</v>
      </c>
      <c r="C1238" s="16" t="s">
        <v>23</v>
      </c>
      <c r="D1238" s="16"/>
      <c r="E1238" s="16"/>
      <c r="F1238" s="16"/>
      <c r="G1238" s="46" t="s">
        <v>157</v>
      </c>
      <c r="H1238" s="46" t="s">
        <v>212</v>
      </c>
      <c r="I1238" s="18" t="s">
        <v>444</v>
      </c>
      <c r="J1238" s="18"/>
      <c r="K1238" s="18"/>
      <c r="L1238" s="25"/>
      <c r="M1238" s="6"/>
    </row>
    <row r="1239" s="4" customFormat="1" hidden="1" customHeight="1" spans="1:13">
      <c r="A1239" s="14" t="str">
        <f t="shared" si="25"/>
        <v>0x00000428</v>
      </c>
      <c r="B1239" s="15">
        <f>SUM_HEX(C1238:F1238,B1238,3)</f>
        <v>1064</v>
      </c>
      <c r="C1239" s="16" t="s">
        <v>445</v>
      </c>
      <c r="D1239" s="16"/>
      <c r="E1239" s="16"/>
      <c r="F1239" s="16"/>
      <c r="G1239" s="47"/>
      <c r="H1239" s="47"/>
      <c r="I1239" s="18"/>
      <c r="J1239" s="18"/>
      <c r="K1239" s="18"/>
      <c r="L1239" s="25"/>
      <c r="M1239" s="6"/>
    </row>
    <row r="1240" s="4" customFormat="1" hidden="1" customHeight="1" spans="1:13">
      <c r="A1240" s="14" t="str">
        <f t="shared" si="25"/>
        <v>0x0000042C</v>
      </c>
      <c r="B1240" s="15">
        <f>SUM_HEX(C1239:F1239,B1239,3)</f>
        <v>1068</v>
      </c>
      <c r="C1240" s="16" t="s">
        <v>23</v>
      </c>
      <c r="D1240" s="16" t="s">
        <v>23</v>
      </c>
      <c r="E1240" s="16"/>
      <c r="F1240" s="16"/>
      <c r="G1240" s="47"/>
      <c r="H1240" s="47"/>
      <c r="I1240" s="18"/>
      <c r="J1240" s="18"/>
      <c r="K1240" s="18"/>
      <c r="L1240" s="25"/>
      <c r="M1240" s="6"/>
    </row>
    <row r="1241" s="4" customFormat="1" hidden="1" customHeight="1" spans="1:13">
      <c r="A1241" s="14" t="str">
        <f t="shared" si="25"/>
        <v>0x00000434</v>
      </c>
      <c r="B1241" s="15">
        <f>SUM_HEX(C1240:F1240,B1240,3)</f>
        <v>1076</v>
      </c>
      <c r="C1241" s="16" t="s">
        <v>274</v>
      </c>
      <c r="D1241" s="16"/>
      <c r="E1241" s="16"/>
      <c r="F1241" s="16"/>
      <c r="G1241" s="48"/>
      <c r="H1241" s="48"/>
      <c r="I1241" s="18"/>
      <c r="J1241" s="18"/>
      <c r="K1241" s="18"/>
      <c r="L1241" s="25"/>
      <c r="M1241" s="6"/>
    </row>
    <row r="1242" s="4" customFormat="1" hidden="1" customHeight="1" spans="1:13">
      <c r="A1242" s="14" t="str">
        <f t="shared" si="25"/>
        <v>0x00000438</v>
      </c>
      <c r="B1242" s="15">
        <f>SUM_HEX(C1241:F1241,B1241,3)</f>
        <v>1080</v>
      </c>
      <c r="C1242" s="16" t="s">
        <v>23</v>
      </c>
      <c r="D1242" s="16"/>
      <c r="E1242" s="16"/>
      <c r="F1242" s="16"/>
      <c r="G1242" s="46" t="s">
        <v>157</v>
      </c>
      <c r="H1242" s="46" t="s">
        <v>212</v>
      </c>
      <c r="I1242" s="18" t="s">
        <v>446</v>
      </c>
      <c r="J1242" s="18"/>
      <c r="K1242" s="18"/>
      <c r="L1242" s="25"/>
      <c r="M1242" s="6"/>
    </row>
    <row r="1243" s="4" customFormat="1" hidden="1" customHeight="1" spans="1:13">
      <c r="A1243" s="14" t="str">
        <f t="shared" si="25"/>
        <v>0x0000043C</v>
      </c>
      <c r="B1243" s="15">
        <f>SUM_HEX(C1242:F1242,B1242,3)</f>
        <v>1084</v>
      </c>
      <c r="C1243" s="16" t="s">
        <v>447</v>
      </c>
      <c r="D1243" s="16"/>
      <c r="E1243" s="16"/>
      <c r="F1243" s="16"/>
      <c r="G1243" s="47"/>
      <c r="H1243" s="47"/>
      <c r="I1243" s="18"/>
      <c r="J1243" s="18"/>
      <c r="K1243" s="18"/>
      <c r="L1243" s="25"/>
      <c r="M1243" s="6"/>
    </row>
    <row r="1244" s="4" customFormat="1" hidden="1" customHeight="1" spans="1:13">
      <c r="A1244" s="14" t="str">
        <f t="shared" si="25"/>
        <v>0x00000440</v>
      </c>
      <c r="B1244" s="15">
        <f>SUM_HEX(C1243:F1243,B1243,3)</f>
        <v>1088</v>
      </c>
      <c r="C1244" s="16" t="s">
        <v>23</v>
      </c>
      <c r="D1244" s="16" t="s">
        <v>23</v>
      </c>
      <c r="E1244" s="16"/>
      <c r="F1244" s="16"/>
      <c r="G1244" s="47"/>
      <c r="H1244" s="47"/>
      <c r="I1244" s="18"/>
      <c r="J1244" s="18"/>
      <c r="K1244" s="18"/>
      <c r="L1244" s="25"/>
      <c r="M1244" s="6"/>
    </row>
    <row r="1245" s="4" customFormat="1" hidden="1" customHeight="1" spans="1:13">
      <c r="A1245" s="14" t="str">
        <f t="shared" si="25"/>
        <v>0x00000448</v>
      </c>
      <c r="B1245" s="15">
        <f>SUM_HEX(C1244:F1244,B1244,3)</f>
        <v>1096</v>
      </c>
      <c r="C1245" s="16" t="s">
        <v>274</v>
      </c>
      <c r="D1245" s="16"/>
      <c r="E1245" s="16"/>
      <c r="F1245" s="16"/>
      <c r="G1245" s="48"/>
      <c r="H1245" s="48"/>
      <c r="I1245" s="18"/>
      <c r="J1245" s="18"/>
      <c r="K1245" s="18"/>
      <c r="L1245" s="25"/>
      <c r="M1245" s="6"/>
    </row>
    <row r="1246" s="4" customFormat="1" hidden="1" customHeight="1" spans="1:13">
      <c r="A1246" s="14" t="str">
        <f t="shared" si="25"/>
        <v>0x0000044C</v>
      </c>
      <c r="B1246" s="15">
        <f>SUM_HEX(C1245:F1245,B1245,3)</f>
        <v>1100</v>
      </c>
      <c r="C1246" s="16" t="s">
        <v>23</v>
      </c>
      <c r="D1246" s="16"/>
      <c r="E1246" s="16"/>
      <c r="F1246" s="16"/>
      <c r="G1246" s="18" t="s">
        <v>15</v>
      </c>
      <c r="H1246" s="18"/>
      <c r="I1246" s="24" t="s">
        <v>448</v>
      </c>
      <c r="J1246" s="18"/>
      <c r="K1246" s="18" t="s">
        <v>416</v>
      </c>
      <c r="L1246" s="25"/>
      <c r="M1246" s="6"/>
    </row>
    <row r="1247" s="4" customFormat="1" hidden="1" customHeight="1" spans="1:13">
      <c r="A1247" s="14" t="str">
        <f t="shared" si="25"/>
        <v>0x00000450</v>
      </c>
      <c r="B1247" s="15">
        <f>SUM_HEX(C1246:F1246,B1246,3)</f>
        <v>1104</v>
      </c>
      <c r="C1247" s="16" t="s">
        <v>23</v>
      </c>
      <c r="D1247" s="16"/>
      <c r="E1247" s="16"/>
      <c r="F1247" s="16"/>
      <c r="G1247" s="46" t="s">
        <v>157</v>
      </c>
      <c r="H1247" s="46" t="s">
        <v>212</v>
      </c>
      <c r="I1247" s="18" t="s">
        <v>449</v>
      </c>
      <c r="J1247" s="18"/>
      <c r="K1247" s="18"/>
      <c r="L1247" s="25"/>
      <c r="M1247" s="6"/>
    </row>
    <row r="1248" s="4" customFormat="1" hidden="1" customHeight="1" spans="1:13">
      <c r="A1248" s="14" t="str">
        <f t="shared" si="25"/>
        <v>0x00000454</v>
      </c>
      <c r="B1248" s="15">
        <f>SUM_HEX(C1247:F1247,B1247,3)</f>
        <v>1108</v>
      </c>
      <c r="C1248" s="16" t="s">
        <v>450</v>
      </c>
      <c r="D1248" s="16"/>
      <c r="E1248" s="16"/>
      <c r="F1248" s="16"/>
      <c r="G1248" s="47"/>
      <c r="H1248" s="47"/>
      <c r="I1248" s="18"/>
      <c r="J1248" s="18"/>
      <c r="K1248" s="18"/>
      <c r="L1248" s="25"/>
      <c r="M1248" s="6"/>
    </row>
    <row r="1249" s="4" customFormat="1" hidden="1" customHeight="1" spans="1:13">
      <c r="A1249" s="14" t="str">
        <f t="shared" si="25"/>
        <v>0x00000458</v>
      </c>
      <c r="B1249" s="15">
        <f>SUM_HEX(C1248:F1248,B1248,3)</f>
        <v>1112</v>
      </c>
      <c r="C1249" s="16" t="s">
        <v>23</v>
      </c>
      <c r="D1249" s="16" t="s">
        <v>23</v>
      </c>
      <c r="E1249" s="16"/>
      <c r="F1249" s="16"/>
      <c r="G1249" s="47"/>
      <c r="H1249" s="47"/>
      <c r="I1249" s="18"/>
      <c r="J1249" s="18"/>
      <c r="K1249" s="18"/>
      <c r="L1249" s="25"/>
      <c r="M1249" s="6"/>
    </row>
    <row r="1250" s="4" customFormat="1" hidden="1" customHeight="1" spans="1:13">
      <c r="A1250" s="14" t="str">
        <f t="shared" si="25"/>
        <v>0x00000460</v>
      </c>
      <c r="B1250" s="15">
        <f>SUM_HEX(C1249:F1249,B1249,3)</f>
        <v>1120</v>
      </c>
      <c r="C1250" s="16" t="s">
        <v>274</v>
      </c>
      <c r="D1250" s="16"/>
      <c r="E1250" s="16"/>
      <c r="F1250" s="16"/>
      <c r="G1250" s="48"/>
      <c r="H1250" s="48"/>
      <c r="I1250" s="18"/>
      <c r="J1250" s="18"/>
      <c r="K1250" s="18"/>
      <c r="L1250" s="25"/>
      <c r="M1250" s="6"/>
    </row>
    <row r="1251" s="4" customFormat="1" hidden="1" customHeight="1" spans="1:13">
      <c r="A1251" s="14" t="str">
        <f t="shared" si="25"/>
        <v>0x00000464</v>
      </c>
      <c r="B1251" s="15">
        <f>SUM_HEX(C1250:F1250,B1250,3)</f>
        <v>1124</v>
      </c>
      <c r="C1251" s="16" t="s">
        <v>23</v>
      </c>
      <c r="D1251" s="16"/>
      <c r="E1251" s="16"/>
      <c r="F1251" s="16"/>
      <c r="G1251" s="46" t="s">
        <v>157</v>
      </c>
      <c r="H1251" s="46" t="s">
        <v>212</v>
      </c>
      <c r="I1251" s="18" t="s">
        <v>451</v>
      </c>
      <c r="J1251" s="18"/>
      <c r="K1251" s="18"/>
      <c r="L1251" s="25"/>
      <c r="M1251" s="6"/>
    </row>
    <row r="1252" s="4" customFormat="1" hidden="1" customHeight="1" spans="1:13">
      <c r="A1252" s="14" t="str">
        <f t="shared" si="25"/>
        <v>0x00000468</v>
      </c>
      <c r="B1252" s="15">
        <f>SUM_HEX(C1251:F1251,B1251,3)</f>
        <v>1128</v>
      </c>
      <c r="C1252" s="16" t="s">
        <v>452</v>
      </c>
      <c r="D1252" s="16"/>
      <c r="E1252" s="16"/>
      <c r="F1252" s="16"/>
      <c r="G1252" s="47"/>
      <c r="H1252" s="47"/>
      <c r="I1252" s="18"/>
      <c r="J1252" s="18"/>
      <c r="K1252" s="18"/>
      <c r="L1252" s="25"/>
      <c r="M1252" s="6"/>
    </row>
    <row r="1253" s="4" customFormat="1" hidden="1" customHeight="1" spans="1:13">
      <c r="A1253" s="14" t="str">
        <f t="shared" si="25"/>
        <v>0x0000046C</v>
      </c>
      <c r="B1253" s="15">
        <f>SUM_HEX(C1252:F1252,B1252,3)</f>
        <v>1132</v>
      </c>
      <c r="C1253" s="16" t="s">
        <v>23</v>
      </c>
      <c r="D1253" s="16" t="s">
        <v>23</v>
      </c>
      <c r="E1253" s="16"/>
      <c r="F1253" s="16"/>
      <c r="G1253" s="47"/>
      <c r="H1253" s="47"/>
      <c r="I1253" s="18"/>
      <c r="J1253" s="18"/>
      <c r="K1253" s="18"/>
      <c r="L1253" s="25"/>
      <c r="M1253" s="6"/>
    </row>
    <row r="1254" s="4" customFormat="1" hidden="1" customHeight="1" spans="1:13">
      <c r="A1254" s="14" t="str">
        <f t="shared" si="25"/>
        <v>0x00000474</v>
      </c>
      <c r="B1254" s="15">
        <f>SUM_HEX(C1253:F1253,B1253,3)</f>
        <v>1140</v>
      </c>
      <c r="C1254" s="16" t="s">
        <v>274</v>
      </c>
      <c r="D1254" s="16"/>
      <c r="E1254" s="16"/>
      <c r="F1254" s="16"/>
      <c r="G1254" s="48"/>
      <c r="H1254" s="48"/>
      <c r="I1254" s="18"/>
      <c r="J1254" s="18"/>
      <c r="K1254" s="18"/>
      <c r="L1254" s="25"/>
      <c r="M1254" s="6"/>
    </row>
    <row r="1255" s="4" customFormat="1" hidden="1" customHeight="1" spans="1:13">
      <c r="A1255" s="14" t="str">
        <f t="shared" si="25"/>
        <v>0x00000478</v>
      </c>
      <c r="B1255" s="15">
        <f>SUM_HEX(C1254:F1254,B1254,3)</f>
        <v>1144</v>
      </c>
      <c r="C1255" s="16" t="s">
        <v>23</v>
      </c>
      <c r="D1255" s="16"/>
      <c r="E1255" s="16"/>
      <c r="F1255" s="16"/>
      <c r="G1255" s="18" t="s">
        <v>15</v>
      </c>
      <c r="H1255" s="18"/>
      <c r="I1255" s="24" t="s">
        <v>453</v>
      </c>
      <c r="J1255" s="18"/>
      <c r="K1255" s="18" t="s">
        <v>416</v>
      </c>
      <c r="L1255" s="25"/>
      <c r="M1255" s="6"/>
    </row>
    <row r="1256" s="4" customFormat="1" hidden="1" customHeight="1" spans="1:13">
      <c r="A1256" s="14" t="str">
        <f t="shared" si="25"/>
        <v>0x0000047C</v>
      </c>
      <c r="B1256" s="15">
        <f>SUM_HEX(C1255:F1255,B1255,3)</f>
        <v>1148</v>
      </c>
      <c r="C1256" s="16" t="s">
        <v>23</v>
      </c>
      <c r="D1256" s="16"/>
      <c r="E1256" s="16"/>
      <c r="F1256" s="16"/>
      <c r="G1256" s="46" t="s">
        <v>157</v>
      </c>
      <c r="H1256" s="46" t="s">
        <v>212</v>
      </c>
      <c r="I1256" s="18" t="s">
        <v>454</v>
      </c>
      <c r="J1256" s="18"/>
      <c r="K1256" s="18"/>
      <c r="L1256" s="25"/>
      <c r="M1256" s="6"/>
    </row>
    <row r="1257" s="4" customFormat="1" hidden="1" customHeight="1" spans="1:13">
      <c r="A1257" s="14" t="str">
        <f t="shared" si="25"/>
        <v>0x00000480</v>
      </c>
      <c r="B1257" s="15">
        <f>SUM_HEX(C1256:F1256,B1256,3)</f>
        <v>1152</v>
      </c>
      <c r="C1257" s="16" t="s">
        <v>455</v>
      </c>
      <c r="D1257" s="16"/>
      <c r="E1257" s="16"/>
      <c r="F1257" s="16"/>
      <c r="G1257" s="47"/>
      <c r="H1257" s="47"/>
      <c r="I1257" s="18"/>
      <c r="J1257" s="18"/>
      <c r="K1257" s="18"/>
      <c r="L1257" s="25"/>
      <c r="M1257" s="6"/>
    </row>
    <row r="1258" s="4" customFormat="1" hidden="1" customHeight="1" spans="1:13">
      <c r="A1258" s="14" t="str">
        <f t="shared" si="25"/>
        <v>0x00000484</v>
      </c>
      <c r="B1258" s="15">
        <f>SUM_HEX(C1257:F1257,B1257,3)</f>
        <v>1156</v>
      </c>
      <c r="C1258" s="16" t="s">
        <v>23</v>
      </c>
      <c r="D1258" s="16" t="s">
        <v>23</v>
      </c>
      <c r="E1258" s="16"/>
      <c r="F1258" s="16"/>
      <c r="G1258" s="47"/>
      <c r="H1258" s="47"/>
      <c r="I1258" s="18"/>
      <c r="J1258" s="18"/>
      <c r="K1258" s="18"/>
      <c r="L1258" s="25"/>
      <c r="M1258" s="6"/>
    </row>
    <row r="1259" s="4" customFormat="1" hidden="1" customHeight="1" spans="1:13">
      <c r="A1259" s="14" t="str">
        <f t="shared" si="25"/>
        <v>0x0000048C</v>
      </c>
      <c r="B1259" s="15">
        <f>SUM_HEX(C1258:F1258,B1258,3)</f>
        <v>1164</v>
      </c>
      <c r="C1259" s="16" t="s">
        <v>274</v>
      </c>
      <c r="D1259" s="16"/>
      <c r="E1259" s="16"/>
      <c r="F1259" s="16"/>
      <c r="G1259" s="48"/>
      <c r="H1259" s="48"/>
      <c r="I1259" s="18"/>
      <c r="J1259" s="18"/>
      <c r="K1259" s="18"/>
      <c r="L1259" s="25"/>
      <c r="M1259" s="6"/>
    </row>
    <row r="1260" s="4" customFormat="1" hidden="1" customHeight="1" spans="1:13">
      <c r="A1260" s="14" t="str">
        <f t="shared" si="25"/>
        <v>0x00000490</v>
      </c>
      <c r="B1260" s="15">
        <f>SUM_HEX(C1259:F1259,B1259,3)</f>
        <v>1168</v>
      </c>
      <c r="C1260" s="16" t="s">
        <v>23</v>
      </c>
      <c r="D1260" s="16"/>
      <c r="E1260" s="16"/>
      <c r="F1260" s="16"/>
      <c r="G1260" s="46" t="s">
        <v>157</v>
      </c>
      <c r="H1260" s="46" t="s">
        <v>212</v>
      </c>
      <c r="I1260" s="18" t="s">
        <v>456</v>
      </c>
      <c r="J1260" s="18"/>
      <c r="K1260" s="18"/>
      <c r="L1260" s="25"/>
      <c r="M1260" s="6"/>
    </row>
    <row r="1261" s="4" customFormat="1" hidden="1" customHeight="1" spans="1:13">
      <c r="A1261" s="14" t="str">
        <f t="shared" si="25"/>
        <v>0x00000494</v>
      </c>
      <c r="B1261" s="15">
        <f>SUM_HEX(C1260:F1260,B1260,3)</f>
        <v>1172</v>
      </c>
      <c r="C1261" s="16" t="s">
        <v>457</v>
      </c>
      <c r="D1261" s="16"/>
      <c r="E1261" s="16"/>
      <c r="F1261" s="16"/>
      <c r="G1261" s="47"/>
      <c r="H1261" s="47"/>
      <c r="I1261" s="18"/>
      <c r="J1261" s="18"/>
      <c r="K1261" s="18"/>
      <c r="L1261" s="25"/>
      <c r="M1261" s="6"/>
    </row>
    <row r="1262" s="4" customFormat="1" hidden="1" customHeight="1" spans="1:13">
      <c r="A1262" s="14" t="str">
        <f t="shared" si="25"/>
        <v>0x00000498</v>
      </c>
      <c r="B1262" s="15">
        <f>SUM_HEX(C1261:F1261,B1261,3)</f>
        <v>1176</v>
      </c>
      <c r="C1262" s="16" t="s">
        <v>23</v>
      </c>
      <c r="D1262" s="16" t="s">
        <v>23</v>
      </c>
      <c r="E1262" s="16"/>
      <c r="F1262" s="16"/>
      <c r="G1262" s="47"/>
      <c r="H1262" s="47"/>
      <c r="I1262" s="18"/>
      <c r="J1262" s="18"/>
      <c r="K1262" s="18"/>
      <c r="L1262" s="25"/>
      <c r="M1262" s="6"/>
    </row>
    <row r="1263" s="4" customFormat="1" hidden="1" customHeight="1" spans="1:13">
      <c r="A1263" s="14" t="str">
        <f t="shared" si="25"/>
        <v>0x000004A0</v>
      </c>
      <c r="B1263" s="15">
        <f>SUM_HEX(C1262:F1262,B1262,3)</f>
        <v>1184</v>
      </c>
      <c r="C1263" s="16" t="s">
        <v>274</v>
      </c>
      <c r="D1263" s="16"/>
      <c r="E1263" s="16"/>
      <c r="F1263" s="16"/>
      <c r="G1263" s="48"/>
      <c r="H1263" s="48"/>
      <c r="I1263" s="18"/>
      <c r="J1263" s="18"/>
      <c r="K1263" s="18"/>
      <c r="L1263" s="25"/>
      <c r="M1263" s="6"/>
    </row>
    <row r="1264" s="4" customFormat="1" hidden="1" customHeight="1" spans="1:13">
      <c r="A1264" s="14" t="str">
        <f t="shared" si="25"/>
        <v>0x000004A4</v>
      </c>
      <c r="B1264" s="15">
        <f>SUM_HEX(C1263:F1263,B1263,3)</f>
        <v>1188</v>
      </c>
      <c r="C1264" s="16" t="s">
        <v>23</v>
      </c>
      <c r="D1264" s="16"/>
      <c r="E1264" s="16"/>
      <c r="F1264" s="16"/>
      <c r="G1264" s="46" t="s">
        <v>157</v>
      </c>
      <c r="H1264" s="46" t="s">
        <v>212</v>
      </c>
      <c r="I1264" s="18" t="s">
        <v>458</v>
      </c>
      <c r="J1264" s="18"/>
      <c r="K1264" s="18"/>
      <c r="L1264" s="25" t="s">
        <v>272</v>
      </c>
      <c r="M1264" s="6"/>
    </row>
    <row r="1265" s="4" customFormat="1" hidden="1" customHeight="1" spans="1:13">
      <c r="A1265" s="14" t="str">
        <f t="shared" si="25"/>
        <v>0x000004A8</v>
      </c>
      <c r="B1265" s="15">
        <f>SUM_HEX(C1264:F1264,B1264,3)</f>
        <v>1192</v>
      </c>
      <c r="C1265" s="16" t="s">
        <v>459</v>
      </c>
      <c r="D1265" s="16"/>
      <c r="E1265" s="16"/>
      <c r="F1265" s="16"/>
      <c r="G1265" s="47"/>
      <c r="H1265" s="47"/>
      <c r="I1265" s="18"/>
      <c r="J1265" s="18"/>
      <c r="K1265" s="18"/>
      <c r="L1265" s="25"/>
      <c r="M1265" s="6"/>
    </row>
    <row r="1266" s="4" customFormat="1" hidden="1" customHeight="1" spans="1:13">
      <c r="A1266" s="14" t="str">
        <f t="shared" si="25"/>
        <v>0x000004AC</v>
      </c>
      <c r="B1266" s="15">
        <f>SUM_HEX(C1265:F1265,B1265,3)</f>
        <v>1196</v>
      </c>
      <c r="C1266" s="16" t="s">
        <v>23</v>
      </c>
      <c r="D1266" s="16" t="s">
        <v>23</v>
      </c>
      <c r="E1266" s="16"/>
      <c r="F1266" s="16"/>
      <c r="G1266" s="47"/>
      <c r="H1266" s="47"/>
      <c r="I1266" s="18"/>
      <c r="J1266" s="18"/>
      <c r="K1266" s="18"/>
      <c r="L1266" s="25"/>
      <c r="M1266" s="6"/>
    </row>
    <row r="1267" s="4" customFormat="1" hidden="1" customHeight="1" spans="1:13">
      <c r="A1267" s="14" t="str">
        <f t="shared" si="25"/>
        <v>0x000004B4</v>
      </c>
      <c r="B1267" s="15">
        <f>SUM_HEX(C1266:F1266,B1266,3)</f>
        <v>1204</v>
      </c>
      <c r="C1267" s="16" t="s">
        <v>274</v>
      </c>
      <c r="D1267" s="16"/>
      <c r="E1267" s="16"/>
      <c r="F1267" s="16"/>
      <c r="G1267" s="48"/>
      <c r="H1267" s="48"/>
      <c r="I1267" s="18"/>
      <c r="J1267" s="18"/>
      <c r="K1267" s="18"/>
      <c r="L1267" s="25"/>
      <c r="M1267" s="6"/>
    </row>
    <row r="1268" s="4" customFormat="1" customHeight="1" spans="1:13">
      <c r="A1268" s="14" t="str">
        <f t="shared" si="25"/>
        <v>0x000004B8</v>
      </c>
      <c r="B1268" s="15">
        <f>SUM_HEX(C1267:F1267,B1267,3)</f>
        <v>1208</v>
      </c>
      <c r="C1268" s="51" t="s">
        <v>23</v>
      </c>
      <c r="D1268" s="51"/>
      <c r="E1268" s="51"/>
      <c r="F1268" s="51"/>
      <c r="G1268" s="61" t="s">
        <v>157</v>
      </c>
      <c r="H1268" s="61" t="s">
        <v>212</v>
      </c>
      <c r="I1268" s="52" t="s">
        <v>460</v>
      </c>
      <c r="J1268" s="52"/>
      <c r="K1268" s="52"/>
      <c r="L1268" s="51"/>
      <c r="M1268" s="6"/>
    </row>
    <row r="1269" s="4" customFormat="1" customHeight="1" spans="1:13">
      <c r="A1269" s="14" t="str">
        <f t="shared" si="25"/>
        <v>0x000004B8</v>
      </c>
      <c r="B1269" s="15">
        <f>SUM_HEX(C1268:F1268,B1268,3)</f>
        <v>1208</v>
      </c>
      <c r="C1269" s="51" t="s">
        <v>461</v>
      </c>
      <c r="D1269" s="51"/>
      <c r="E1269" s="51"/>
      <c r="F1269" s="51"/>
      <c r="G1269" s="62"/>
      <c r="H1269" s="62"/>
      <c r="I1269" s="52"/>
      <c r="J1269" s="52"/>
      <c r="K1269" s="52"/>
      <c r="L1269" s="51"/>
      <c r="M1269" s="6"/>
    </row>
    <row r="1270" s="4" customFormat="1" customHeight="1" spans="1:13">
      <c r="A1270" s="14" t="str">
        <f t="shared" si="25"/>
        <v>0x000004B8</v>
      </c>
      <c r="B1270" s="15">
        <f>SUM_HEX(C1269:F1269,B1269,3)</f>
        <v>1208</v>
      </c>
      <c r="C1270" s="51" t="s">
        <v>23</v>
      </c>
      <c r="D1270" s="51" t="s">
        <v>23</v>
      </c>
      <c r="E1270" s="51"/>
      <c r="F1270" s="51"/>
      <c r="G1270" s="62"/>
      <c r="H1270" s="62"/>
      <c r="I1270" s="52"/>
      <c r="J1270" s="52"/>
      <c r="K1270" s="52"/>
      <c r="L1270" s="51"/>
      <c r="M1270" s="6"/>
    </row>
    <row r="1271" s="4" customFormat="1" customHeight="1" spans="1:13">
      <c r="A1271" s="14" t="str">
        <f t="shared" si="25"/>
        <v>0x000004B8</v>
      </c>
      <c r="B1271" s="15">
        <f>SUM_HEX(C1270:F1270,B1270,3)</f>
        <v>1208</v>
      </c>
      <c r="C1271" s="51" t="s">
        <v>274</v>
      </c>
      <c r="D1271" s="51"/>
      <c r="E1271" s="51"/>
      <c r="F1271" s="51"/>
      <c r="G1271" s="63"/>
      <c r="H1271" s="63"/>
      <c r="I1271" s="52"/>
      <c r="J1271" s="52"/>
      <c r="K1271" s="52"/>
      <c r="L1271" s="51"/>
      <c r="M1271" s="6"/>
    </row>
    <row r="1272" s="4" customFormat="1" hidden="1" customHeight="1" spans="1:13">
      <c r="A1272" s="14" t="str">
        <f t="shared" si="25"/>
        <v>0x000004B8</v>
      </c>
      <c r="B1272" s="15">
        <f>SUM_HEX(C1271:F1271,B1271,3)</f>
        <v>1208</v>
      </c>
      <c r="C1272" s="16" t="s">
        <v>462</v>
      </c>
      <c r="D1272" s="16"/>
      <c r="E1272" s="16"/>
      <c r="F1272" s="16"/>
      <c r="G1272" s="18" t="s">
        <v>33</v>
      </c>
      <c r="H1272" s="18" t="s">
        <v>54</v>
      </c>
      <c r="I1272" s="24" t="s">
        <v>463</v>
      </c>
      <c r="J1272" s="24" t="s">
        <v>464</v>
      </c>
      <c r="K1272" s="18"/>
      <c r="L1272" s="25"/>
      <c r="M1272" s="6"/>
    </row>
    <row r="1273" s="4" customFormat="1" hidden="1" customHeight="1" spans="1:13">
      <c r="A1273" s="14"/>
      <c r="B1273" s="15"/>
      <c r="C1273" s="16"/>
      <c r="D1273" s="16"/>
      <c r="E1273" s="16"/>
      <c r="F1273" s="16"/>
      <c r="G1273" s="18"/>
      <c r="H1273" s="18" t="s">
        <v>57</v>
      </c>
      <c r="I1273" s="24"/>
      <c r="J1273" s="24" t="s">
        <v>465</v>
      </c>
      <c r="K1273" s="18"/>
      <c r="L1273" s="25"/>
      <c r="M1273" s="6"/>
    </row>
    <row r="1274" s="4" customFormat="1" hidden="1" customHeight="1" spans="1:13">
      <c r="A1274" s="14"/>
      <c r="B1274" s="15"/>
      <c r="C1274" s="16"/>
      <c r="D1274" s="16"/>
      <c r="E1274" s="16"/>
      <c r="F1274" s="16"/>
      <c r="G1274" s="18"/>
      <c r="H1274" s="18" t="s">
        <v>58</v>
      </c>
      <c r="I1274" s="24"/>
      <c r="J1274" s="24" t="s">
        <v>466</v>
      </c>
      <c r="K1274" s="18"/>
      <c r="L1274" s="25"/>
      <c r="M1274" s="6"/>
    </row>
    <row r="1275" s="4" customFormat="1" hidden="1" customHeight="1" spans="1:13">
      <c r="A1275" s="14"/>
      <c r="B1275" s="15"/>
      <c r="C1275" s="16"/>
      <c r="D1275" s="16"/>
      <c r="E1275" s="16"/>
      <c r="F1275" s="16"/>
      <c r="G1275" s="18"/>
      <c r="H1275" s="18" t="s">
        <v>59</v>
      </c>
      <c r="I1275" s="24"/>
      <c r="J1275" s="24" t="s">
        <v>467</v>
      </c>
      <c r="K1275" s="18"/>
      <c r="L1275" s="25"/>
      <c r="M1275" s="6"/>
    </row>
    <row r="1276" s="4" customFormat="1" hidden="1" customHeight="1" spans="1:13">
      <c r="A1276" s="14"/>
      <c r="B1276" s="15"/>
      <c r="C1276" s="16"/>
      <c r="D1276" s="16"/>
      <c r="E1276" s="16"/>
      <c r="F1276" s="16"/>
      <c r="G1276" s="18"/>
      <c r="H1276" s="18" t="s">
        <v>60</v>
      </c>
      <c r="I1276" s="24"/>
      <c r="J1276" s="24" t="s">
        <v>468</v>
      </c>
      <c r="K1276" s="18"/>
      <c r="L1276" s="25"/>
      <c r="M1276" s="6"/>
    </row>
    <row r="1277" s="4" customFormat="1" hidden="1" customHeight="1" spans="1:13">
      <c r="A1277" s="14"/>
      <c r="B1277" s="15"/>
      <c r="C1277" s="16"/>
      <c r="D1277" s="16"/>
      <c r="E1277" s="16"/>
      <c r="F1277" s="16"/>
      <c r="G1277" s="18"/>
      <c r="H1277" s="18" t="s">
        <v>61</v>
      </c>
      <c r="I1277" s="24"/>
      <c r="J1277" s="18"/>
      <c r="K1277" s="18"/>
      <c r="L1277" s="25"/>
      <c r="M1277" s="6"/>
    </row>
    <row r="1278" s="4" customFormat="1" hidden="1" customHeight="1" spans="1:13">
      <c r="A1278" s="14"/>
      <c r="B1278" s="15"/>
      <c r="C1278" s="16"/>
      <c r="D1278" s="16"/>
      <c r="E1278" s="16"/>
      <c r="F1278" s="16"/>
      <c r="G1278" s="18"/>
      <c r="H1278" s="18" t="s">
        <v>62</v>
      </c>
      <c r="I1278" s="24"/>
      <c r="J1278" s="24" t="s">
        <v>469</v>
      </c>
      <c r="K1278" s="18"/>
      <c r="L1278" s="25"/>
      <c r="M1278" s="6"/>
    </row>
    <row r="1279" s="4" customFormat="1" hidden="1" customHeight="1" spans="1:13">
      <c r="A1279" s="14"/>
      <c r="B1279" s="15"/>
      <c r="C1279" s="16"/>
      <c r="D1279" s="16"/>
      <c r="E1279" s="16"/>
      <c r="F1279" s="16"/>
      <c r="G1279" s="18"/>
      <c r="H1279" s="18" t="s">
        <v>63</v>
      </c>
      <c r="I1279" s="24"/>
      <c r="J1279" s="24" t="s">
        <v>470</v>
      </c>
      <c r="K1279" s="18"/>
      <c r="L1279" s="25"/>
      <c r="M1279" s="6"/>
    </row>
    <row r="1280" s="4" customFormat="1" hidden="1" customHeight="1" spans="1:13">
      <c r="A1280" s="14"/>
      <c r="B1280" s="15"/>
      <c r="C1280" s="16"/>
      <c r="D1280" s="16"/>
      <c r="E1280" s="16"/>
      <c r="F1280" s="16"/>
      <c r="G1280" s="18"/>
      <c r="H1280" s="18" t="s">
        <v>64</v>
      </c>
      <c r="I1280" s="24"/>
      <c r="J1280" s="24" t="s">
        <v>471</v>
      </c>
      <c r="K1280" s="18"/>
      <c r="L1280" s="25"/>
      <c r="M1280" s="6"/>
    </row>
    <row r="1281" s="4" customFormat="1" hidden="1" customHeight="1" spans="1:13">
      <c r="A1281" s="14"/>
      <c r="B1281" s="15"/>
      <c r="C1281" s="16"/>
      <c r="D1281" s="16"/>
      <c r="E1281" s="16"/>
      <c r="F1281" s="16"/>
      <c r="G1281" s="18"/>
      <c r="H1281" s="18" t="s">
        <v>65</v>
      </c>
      <c r="I1281" s="24"/>
      <c r="J1281" s="24" t="s">
        <v>472</v>
      </c>
      <c r="K1281" s="18"/>
      <c r="L1281" s="25"/>
      <c r="M1281" s="6"/>
    </row>
    <row r="1282" s="4" customFormat="1" hidden="1" customHeight="1" spans="1:13">
      <c r="A1282" s="14"/>
      <c r="B1282" s="15"/>
      <c r="C1282" s="16"/>
      <c r="D1282" s="16"/>
      <c r="E1282" s="16"/>
      <c r="F1282" s="16"/>
      <c r="G1282" s="18"/>
      <c r="H1282" s="18" t="s">
        <v>66</v>
      </c>
      <c r="I1282" s="24"/>
      <c r="J1282" s="24" t="s">
        <v>473</v>
      </c>
      <c r="K1282" s="18"/>
      <c r="L1282" s="25"/>
      <c r="M1282" s="6"/>
    </row>
    <row r="1283" s="4" customFormat="1" hidden="1" customHeight="1" spans="1:13">
      <c r="A1283" s="14"/>
      <c r="B1283" s="15"/>
      <c r="C1283" s="16"/>
      <c r="D1283" s="16"/>
      <c r="E1283" s="16"/>
      <c r="F1283" s="16"/>
      <c r="G1283" s="18"/>
      <c r="H1283" s="18" t="s">
        <v>67</v>
      </c>
      <c r="I1283" s="24"/>
      <c r="J1283" s="24" t="s">
        <v>474</v>
      </c>
      <c r="K1283" s="18"/>
      <c r="L1283" s="25"/>
      <c r="M1283" s="6"/>
    </row>
    <row r="1284" s="4" customFormat="1" hidden="1" customHeight="1" spans="1:13">
      <c r="A1284" s="14"/>
      <c r="B1284" s="15"/>
      <c r="C1284" s="16"/>
      <c r="D1284" s="16"/>
      <c r="E1284" s="16"/>
      <c r="F1284" s="16"/>
      <c r="G1284" s="18"/>
      <c r="H1284" s="18" t="s">
        <v>68</v>
      </c>
      <c r="I1284" s="24"/>
      <c r="J1284" s="24" t="s">
        <v>475</v>
      </c>
      <c r="K1284" s="18"/>
      <c r="L1284" s="25"/>
      <c r="M1284" s="6"/>
    </row>
    <row r="1285" s="4" customFormat="1" hidden="1" customHeight="1" spans="1:13">
      <c r="A1285" s="14"/>
      <c r="B1285" s="15"/>
      <c r="C1285" s="16"/>
      <c r="D1285" s="16"/>
      <c r="E1285" s="16"/>
      <c r="F1285" s="16"/>
      <c r="G1285" s="18"/>
      <c r="H1285" s="18" t="s">
        <v>69</v>
      </c>
      <c r="I1285" s="24"/>
      <c r="J1285" s="24" t="s">
        <v>476</v>
      </c>
      <c r="K1285" s="18"/>
      <c r="L1285" s="25"/>
      <c r="M1285" s="6"/>
    </row>
    <row r="1286" s="4" customFormat="1" hidden="1" customHeight="1" spans="1:13">
      <c r="A1286" s="14"/>
      <c r="B1286" s="15"/>
      <c r="C1286" s="16"/>
      <c r="D1286" s="16"/>
      <c r="E1286" s="16"/>
      <c r="F1286" s="16"/>
      <c r="G1286" s="18"/>
      <c r="H1286" s="18" t="s">
        <v>70</v>
      </c>
      <c r="I1286" s="24"/>
      <c r="J1286" s="24" t="s">
        <v>477</v>
      </c>
      <c r="K1286" s="18"/>
      <c r="L1286" s="25"/>
      <c r="M1286" s="6"/>
    </row>
    <row r="1287" s="4" customFormat="1" hidden="1" customHeight="1" spans="1:13">
      <c r="A1287" s="14"/>
      <c r="B1287" s="15"/>
      <c r="C1287" s="16"/>
      <c r="D1287" s="16"/>
      <c r="E1287" s="16"/>
      <c r="F1287" s="16"/>
      <c r="G1287" s="18"/>
      <c r="H1287" s="18" t="s">
        <v>71</v>
      </c>
      <c r="I1287" s="24"/>
      <c r="J1287" s="24" t="s">
        <v>478</v>
      </c>
      <c r="K1287" s="18"/>
      <c r="L1287" s="25"/>
      <c r="M1287" s="6"/>
    </row>
    <row r="1288" s="4" customFormat="1" hidden="1" customHeight="1" spans="1:13">
      <c r="A1288" s="14"/>
      <c r="B1288" s="15"/>
      <c r="C1288" s="16"/>
      <c r="D1288" s="16"/>
      <c r="E1288" s="16"/>
      <c r="F1288" s="16"/>
      <c r="G1288" s="18"/>
      <c r="H1288" s="18" t="s">
        <v>72</v>
      </c>
      <c r="I1288" s="24"/>
      <c r="J1288" s="24" t="s">
        <v>479</v>
      </c>
      <c r="K1288" s="18"/>
      <c r="L1288" s="25"/>
      <c r="M1288" s="6"/>
    </row>
    <row r="1289" s="4" customFormat="1" hidden="1" customHeight="1" spans="1:13">
      <c r="A1289" s="14"/>
      <c r="B1289" s="15"/>
      <c r="C1289" s="16"/>
      <c r="D1289" s="16"/>
      <c r="E1289" s="16"/>
      <c r="F1289" s="16"/>
      <c r="G1289" s="18"/>
      <c r="H1289" s="18" t="s">
        <v>73</v>
      </c>
      <c r="I1289" s="24"/>
      <c r="J1289" s="24" t="s">
        <v>480</v>
      </c>
      <c r="K1289" s="18"/>
      <c r="L1289" s="25"/>
      <c r="M1289" s="6"/>
    </row>
    <row r="1290" s="4" customFormat="1" hidden="1" customHeight="1" spans="1:13">
      <c r="A1290" s="14"/>
      <c r="B1290" s="15"/>
      <c r="C1290" s="16"/>
      <c r="D1290" s="16"/>
      <c r="E1290" s="16"/>
      <c r="F1290" s="16"/>
      <c r="G1290" s="18"/>
      <c r="H1290" s="18" t="s">
        <v>74</v>
      </c>
      <c r="I1290" s="24"/>
      <c r="J1290" s="24" t="s">
        <v>481</v>
      </c>
      <c r="K1290" s="18"/>
      <c r="L1290" s="25"/>
      <c r="M1290" s="6"/>
    </row>
    <row r="1291" s="4" customFormat="1" hidden="1" customHeight="1" spans="1:13">
      <c r="A1291" s="14"/>
      <c r="B1291" s="15"/>
      <c r="C1291" s="16"/>
      <c r="D1291" s="16"/>
      <c r="E1291" s="16"/>
      <c r="F1291" s="16"/>
      <c r="G1291" s="18"/>
      <c r="H1291" s="18" t="s">
        <v>75</v>
      </c>
      <c r="I1291" s="24"/>
      <c r="J1291" s="24" t="s">
        <v>482</v>
      </c>
      <c r="K1291" s="18"/>
      <c r="L1291" s="25"/>
      <c r="M1291" s="6"/>
    </row>
    <row r="1292" s="4" customFormat="1" hidden="1" customHeight="1" spans="1:13">
      <c r="A1292" s="14"/>
      <c r="B1292" s="15"/>
      <c r="C1292" s="16"/>
      <c r="D1292" s="16"/>
      <c r="E1292" s="16"/>
      <c r="F1292" s="16"/>
      <c r="G1292" s="18"/>
      <c r="H1292" s="18" t="s">
        <v>76</v>
      </c>
      <c r="I1292" s="24"/>
      <c r="J1292" s="24" t="s">
        <v>483</v>
      </c>
      <c r="K1292" s="18"/>
      <c r="L1292" s="25"/>
      <c r="M1292" s="6"/>
    </row>
    <row r="1293" s="4" customFormat="1" hidden="1" customHeight="1" spans="1:13">
      <c r="A1293" s="14"/>
      <c r="B1293" s="15"/>
      <c r="C1293" s="16"/>
      <c r="D1293" s="16"/>
      <c r="E1293" s="16"/>
      <c r="F1293" s="16"/>
      <c r="G1293" s="18"/>
      <c r="H1293" s="18" t="s">
        <v>77</v>
      </c>
      <c r="I1293" s="24"/>
      <c r="J1293" s="24" t="s">
        <v>484</v>
      </c>
      <c r="K1293" s="18"/>
      <c r="L1293" s="25"/>
      <c r="M1293" s="6"/>
    </row>
    <row r="1294" s="4" customFormat="1" hidden="1" customHeight="1" spans="1:13">
      <c r="A1294" s="14"/>
      <c r="B1294" s="15"/>
      <c r="C1294" s="16"/>
      <c r="D1294" s="16"/>
      <c r="E1294" s="16"/>
      <c r="F1294" s="16"/>
      <c r="G1294" s="18"/>
      <c r="H1294" s="18" t="s">
        <v>78</v>
      </c>
      <c r="I1294" s="24"/>
      <c r="J1294" s="24" t="s">
        <v>485</v>
      </c>
      <c r="K1294" s="18"/>
      <c r="L1294" s="25"/>
      <c r="M1294" s="6"/>
    </row>
    <row r="1295" s="4" customFormat="1" hidden="1" customHeight="1" spans="1:13">
      <c r="A1295" s="14"/>
      <c r="B1295" s="15"/>
      <c r="C1295" s="16"/>
      <c r="D1295" s="16"/>
      <c r="E1295" s="16"/>
      <c r="F1295" s="16"/>
      <c r="G1295" s="18"/>
      <c r="H1295" s="18" t="s">
        <v>79</v>
      </c>
      <c r="I1295" s="24"/>
      <c r="J1295" s="24" t="s">
        <v>486</v>
      </c>
      <c r="K1295" s="18"/>
      <c r="L1295" s="25"/>
      <c r="M1295" s="6"/>
    </row>
    <row r="1296" s="4" customFormat="1" hidden="1" customHeight="1" spans="1:13">
      <c r="A1296" s="14"/>
      <c r="B1296" s="15"/>
      <c r="C1296" s="16"/>
      <c r="D1296" s="16"/>
      <c r="E1296" s="16"/>
      <c r="F1296" s="16"/>
      <c r="G1296" s="18"/>
      <c r="H1296" s="18" t="s">
        <v>80</v>
      </c>
      <c r="I1296" s="24"/>
      <c r="J1296" s="24" t="s">
        <v>487</v>
      </c>
      <c r="K1296" s="18"/>
      <c r="L1296" s="25"/>
      <c r="M1296" s="6"/>
    </row>
    <row r="1297" s="4" customFormat="1" hidden="1" customHeight="1" spans="1:13">
      <c r="A1297" s="14"/>
      <c r="B1297" s="15"/>
      <c r="C1297" s="16"/>
      <c r="D1297" s="16"/>
      <c r="E1297" s="16"/>
      <c r="F1297" s="16"/>
      <c r="G1297" s="18"/>
      <c r="H1297" s="18" t="s">
        <v>81</v>
      </c>
      <c r="I1297" s="24"/>
      <c r="J1297" s="24" t="s">
        <v>488</v>
      </c>
      <c r="K1297" s="18"/>
      <c r="L1297" s="25"/>
      <c r="M1297" s="6"/>
    </row>
    <row r="1298" s="4" customFormat="1" hidden="1" customHeight="1" spans="1:13">
      <c r="A1298" s="14"/>
      <c r="B1298" s="15"/>
      <c r="C1298" s="16"/>
      <c r="D1298" s="16"/>
      <c r="E1298" s="16"/>
      <c r="F1298" s="16"/>
      <c r="G1298" s="18"/>
      <c r="H1298" s="18" t="s">
        <v>82</v>
      </c>
      <c r="I1298" s="24"/>
      <c r="J1298" s="24" t="s">
        <v>489</v>
      </c>
      <c r="K1298" s="18"/>
      <c r="L1298" s="25"/>
      <c r="M1298" s="6"/>
    </row>
    <row r="1299" s="4" customFormat="1" hidden="1" customHeight="1" spans="1:13">
      <c r="A1299" s="14"/>
      <c r="B1299" s="15"/>
      <c r="C1299" s="16"/>
      <c r="D1299" s="16"/>
      <c r="E1299" s="16"/>
      <c r="F1299" s="16"/>
      <c r="G1299" s="18"/>
      <c r="H1299" s="18" t="s">
        <v>83</v>
      </c>
      <c r="I1299" s="24"/>
      <c r="J1299" s="24"/>
      <c r="K1299" s="18"/>
      <c r="L1299" s="25"/>
      <c r="M1299" s="6"/>
    </row>
    <row r="1300" s="4" customFormat="1" hidden="1" customHeight="1" spans="1:13">
      <c r="A1300" s="14"/>
      <c r="B1300" s="15"/>
      <c r="C1300" s="16"/>
      <c r="D1300" s="16"/>
      <c r="E1300" s="16"/>
      <c r="F1300" s="16"/>
      <c r="G1300" s="18"/>
      <c r="H1300" s="18" t="s">
        <v>84</v>
      </c>
      <c r="I1300" s="24"/>
      <c r="J1300" s="24" t="s">
        <v>490</v>
      </c>
      <c r="K1300" s="18"/>
      <c r="L1300" s="25"/>
      <c r="M1300" s="6"/>
    </row>
    <row r="1301" s="4" customFormat="1" hidden="1" customHeight="1" spans="1:13">
      <c r="A1301" s="14"/>
      <c r="B1301" s="15"/>
      <c r="C1301" s="16"/>
      <c r="D1301" s="16"/>
      <c r="E1301" s="16"/>
      <c r="F1301" s="16"/>
      <c r="G1301" s="18"/>
      <c r="H1301" s="18" t="s">
        <v>85</v>
      </c>
      <c r="I1301" s="24"/>
      <c r="J1301" s="24" t="s">
        <v>491</v>
      </c>
      <c r="K1301" s="18"/>
      <c r="L1301" s="25"/>
      <c r="M1301" s="6"/>
    </row>
    <row r="1302" s="4" customFormat="1" hidden="1" customHeight="1" spans="1:13">
      <c r="A1302" s="14"/>
      <c r="B1302" s="15"/>
      <c r="C1302" s="16"/>
      <c r="D1302" s="16"/>
      <c r="E1302" s="16"/>
      <c r="F1302" s="16"/>
      <c r="G1302" s="18"/>
      <c r="H1302" s="18" t="s">
        <v>86</v>
      </c>
      <c r="I1302" s="24"/>
      <c r="J1302" s="24" t="s">
        <v>492</v>
      </c>
      <c r="K1302" s="18"/>
      <c r="L1302" s="25"/>
      <c r="M1302" s="6"/>
    </row>
    <row r="1303" s="4" customFormat="1" hidden="1" customHeight="1" spans="1:13">
      <c r="A1303" s="14"/>
      <c r="B1303" s="15"/>
      <c r="C1303" s="16"/>
      <c r="D1303" s="16"/>
      <c r="E1303" s="16"/>
      <c r="F1303" s="16"/>
      <c r="G1303" s="18"/>
      <c r="H1303" s="18" t="s">
        <v>87</v>
      </c>
      <c r="I1303" s="24"/>
      <c r="J1303" s="24"/>
      <c r="K1303" s="18"/>
      <c r="L1303" s="25"/>
      <c r="M1303" s="6"/>
    </row>
    <row r="1304" s="4" customFormat="1" hidden="1" customHeight="1" spans="1:13">
      <c r="A1304" s="14" t="str">
        <f>"0x"&amp;DEC2HEX(B1304,8)</f>
        <v>0x000004BC</v>
      </c>
      <c r="B1304" s="15">
        <f>SUM_HEX(C1272:F1303,B1272,3)</f>
        <v>1212</v>
      </c>
      <c r="C1304" s="16" t="s">
        <v>493</v>
      </c>
      <c r="D1304" s="16"/>
      <c r="E1304" s="16"/>
      <c r="F1304" s="16"/>
      <c r="G1304" s="18" t="s">
        <v>33</v>
      </c>
      <c r="H1304" s="18" t="s">
        <v>54</v>
      </c>
      <c r="I1304" s="24" t="s">
        <v>494</v>
      </c>
      <c r="J1304" s="18" t="s">
        <v>495</v>
      </c>
      <c r="K1304" s="18"/>
      <c r="L1304" s="25"/>
      <c r="M1304" s="6"/>
    </row>
    <row r="1305" s="4" customFormat="1" hidden="1" customHeight="1" spans="1:13">
      <c r="A1305" s="14"/>
      <c r="B1305" s="15"/>
      <c r="C1305" s="16"/>
      <c r="D1305" s="16"/>
      <c r="E1305" s="16"/>
      <c r="F1305" s="16"/>
      <c r="G1305" s="18"/>
      <c r="H1305" s="18" t="s">
        <v>57</v>
      </c>
      <c r="I1305" s="24"/>
      <c r="J1305" s="18" t="s">
        <v>496</v>
      </c>
      <c r="K1305" s="18"/>
      <c r="L1305" s="25"/>
      <c r="M1305" s="6"/>
    </row>
    <row r="1306" s="4" customFormat="1" hidden="1" customHeight="1" spans="1:13">
      <c r="A1306" s="14"/>
      <c r="B1306" s="15"/>
      <c r="C1306" s="16"/>
      <c r="D1306" s="16"/>
      <c r="E1306" s="16"/>
      <c r="F1306" s="16"/>
      <c r="G1306" s="18"/>
      <c r="H1306" s="18" t="s">
        <v>58</v>
      </c>
      <c r="I1306" s="24"/>
      <c r="J1306" s="18" t="s">
        <v>497</v>
      </c>
      <c r="K1306" s="18"/>
      <c r="L1306" s="25"/>
      <c r="M1306" s="6"/>
    </row>
    <row r="1307" s="4" customFormat="1" hidden="1" customHeight="1" spans="1:13">
      <c r="A1307" s="14"/>
      <c r="B1307" s="15"/>
      <c r="C1307" s="16"/>
      <c r="D1307" s="16"/>
      <c r="E1307" s="16"/>
      <c r="F1307" s="16"/>
      <c r="G1307" s="18"/>
      <c r="H1307" s="18" t="s">
        <v>59</v>
      </c>
      <c r="I1307" s="24"/>
      <c r="J1307" s="18" t="s">
        <v>498</v>
      </c>
      <c r="K1307" s="18"/>
      <c r="L1307" s="25"/>
      <c r="M1307" s="6"/>
    </row>
    <row r="1308" s="4" customFormat="1" hidden="1" customHeight="1" spans="1:13">
      <c r="A1308" s="14"/>
      <c r="B1308" s="15"/>
      <c r="C1308" s="16"/>
      <c r="D1308" s="16"/>
      <c r="E1308" s="16"/>
      <c r="F1308" s="16"/>
      <c r="G1308" s="18"/>
      <c r="H1308" s="18" t="s">
        <v>60</v>
      </c>
      <c r="I1308" s="24"/>
      <c r="J1308" s="18" t="s">
        <v>500</v>
      </c>
      <c r="K1308" s="18"/>
      <c r="L1308" s="25"/>
      <c r="M1308" s="6"/>
    </row>
    <row r="1309" s="4" customFormat="1" hidden="1" customHeight="1" spans="1:13">
      <c r="A1309" s="14"/>
      <c r="B1309" s="15"/>
      <c r="C1309" s="16"/>
      <c r="D1309" s="16"/>
      <c r="E1309" s="16"/>
      <c r="F1309" s="16"/>
      <c r="G1309" s="18"/>
      <c r="H1309" s="18" t="s">
        <v>61</v>
      </c>
      <c r="I1309" s="24"/>
      <c r="J1309" s="18" t="s">
        <v>500</v>
      </c>
      <c r="K1309" s="18"/>
      <c r="L1309" s="25"/>
      <c r="M1309" s="6"/>
    </row>
    <row r="1310" s="4" customFormat="1" hidden="1" customHeight="1" spans="1:13">
      <c r="A1310" s="14"/>
      <c r="B1310" s="15"/>
      <c r="C1310" s="16"/>
      <c r="D1310" s="16"/>
      <c r="E1310" s="16"/>
      <c r="F1310" s="16"/>
      <c r="G1310" s="18"/>
      <c r="H1310" s="18" t="s">
        <v>62</v>
      </c>
      <c r="I1310" s="24"/>
      <c r="J1310" s="18"/>
      <c r="K1310" s="18"/>
      <c r="L1310" s="25"/>
      <c r="M1310" s="6"/>
    </row>
    <row r="1311" s="4" customFormat="1" hidden="1" customHeight="1" spans="1:13">
      <c r="A1311" s="14"/>
      <c r="B1311" s="15"/>
      <c r="C1311" s="16"/>
      <c r="D1311" s="16"/>
      <c r="E1311" s="16"/>
      <c r="F1311" s="16"/>
      <c r="G1311" s="18"/>
      <c r="H1311" s="18" t="s">
        <v>63</v>
      </c>
      <c r="I1311" s="24"/>
      <c r="J1311" s="18" t="s">
        <v>501</v>
      </c>
      <c r="K1311" s="18"/>
      <c r="L1311" s="25"/>
      <c r="M1311" s="6"/>
    </row>
    <row r="1312" s="4" customFormat="1" hidden="1" customHeight="1" spans="1:13">
      <c r="A1312" s="14" t="str">
        <f t="shared" ref="A1312:A1357" si="26">"0x"&amp;DEC2HEX(B1312,8)</f>
        <v>0x000004C0</v>
      </c>
      <c r="B1312" s="15">
        <f>SUM_HEX(C1304:F1304,B1304,3)</f>
        <v>1216</v>
      </c>
      <c r="C1312" s="16" t="s">
        <v>23</v>
      </c>
      <c r="D1312" s="16"/>
      <c r="E1312" s="16"/>
      <c r="F1312" s="16"/>
      <c r="G1312" s="18" t="s">
        <v>15</v>
      </c>
      <c r="H1312" s="18"/>
      <c r="I1312" s="24" t="s">
        <v>502</v>
      </c>
      <c r="J1312" s="18"/>
      <c r="K1312" s="18" t="s">
        <v>372</v>
      </c>
      <c r="L1312" s="25"/>
      <c r="M1312" s="6"/>
    </row>
    <row r="1313" s="4" customFormat="1" hidden="1" customHeight="1" spans="1:13">
      <c r="A1313" s="14" t="str">
        <f t="shared" si="26"/>
        <v>0x000004C4</v>
      </c>
      <c r="B1313" s="15">
        <f>SUM_HEX(C1312:F1312,B1312,3)</f>
        <v>1220</v>
      </c>
      <c r="C1313" s="16" t="s">
        <v>23</v>
      </c>
      <c r="D1313" s="16"/>
      <c r="E1313" s="16"/>
      <c r="F1313" s="16"/>
      <c r="G1313" s="18" t="s">
        <v>15</v>
      </c>
      <c r="H1313" s="18"/>
      <c r="I1313" s="24" t="s">
        <v>503</v>
      </c>
      <c r="J1313" s="18"/>
      <c r="K1313" s="18" t="s">
        <v>372</v>
      </c>
      <c r="L1313" s="25"/>
      <c r="M1313" s="6"/>
    </row>
    <row r="1314" s="4" customFormat="1" hidden="1" customHeight="1" spans="1:13">
      <c r="A1314" s="14" t="str">
        <f t="shared" si="26"/>
        <v>0x000004C8</v>
      </c>
      <c r="B1314" s="15">
        <f>SUM_HEX(C1313:F1313,B1313,3)</f>
        <v>1224</v>
      </c>
      <c r="C1314" s="16" t="s">
        <v>23</v>
      </c>
      <c r="D1314" s="16"/>
      <c r="E1314" s="16"/>
      <c r="F1314" s="16"/>
      <c r="G1314" s="18" t="s">
        <v>15</v>
      </c>
      <c r="H1314" s="18"/>
      <c r="I1314" s="24" t="s">
        <v>504</v>
      </c>
      <c r="J1314" s="18"/>
      <c r="K1314" s="18" t="s">
        <v>372</v>
      </c>
      <c r="L1314" s="25"/>
      <c r="M1314" s="6"/>
    </row>
    <row r="1315" s="4" customFormat="1" hidden="1" customHeight="1" spans="1:13">
      <c r="A1315" s="14" t="str">
        <f t="shared" si="26"/>
        <v>0x000004CC</v>
      </c>
      <c r="B1315" s="15">
        <f>SUM_HEX(C1314:F1314,B1314,3)</f>
        <v>1228</v>
      </c>
      <c r="C1315" s="16" t="s">
        <v>23</v>
      </c>
      <c r="D1315" s="16"/>
      <c r="E1315" s="16"/>
      <c r="F1315" s="16"/>
      <c r="G1315" s="46" t="s">
        <v>157</v>
      </c>
      <c r="H1315" s="46" t="s">
        <v>212</v>
      </c>
      <c r="I1315" s="18" t="s">
        <v>505</v>
      </c>
      <c r="J1315" s="18"/>
      <c r="K1315" s="18"/>
      <c r="L1315" s="25"/>
      <c r="M1315" s="6"/>
    </row>
    <row r="1316" s="4" customFormat="1" hidden="1" customHeight="1" spans="1:13">
      <c r="A1316" s="14" t="str">
        <f t="shared" si="26"/>
        <v>0x000004D0</v>
      </c>
      <c r="B1316" s="15">
        <f>SUM_HEX(C1315:F1315,B1315,3)</f>
        <v>1232</v>
      </c>
      <c r="C1316" s="16" t="s">
        <v>506</v>
      </c>
      <c r="D1316" s="16"/>
      <c r="E1316" s="16"/>
      <c r="F1316" s="16"/>
      <c r="G1316" s="47"/>
      <c r="H1316" s="47"/>
      <c r="I1316" s="18"/>
      <c r="J1316" s="18"/>
      <c r="K1316" s="18"/>
      <c r="L1316" s="25"/>
      <c r="M1316" s="6"/>
    </row>
    <row r="1317" s="4" customFormat="1" hidden="1" customHeight="1" spans="1:13">
      <c r="A1317" s="14" t="str">
        <f t="shared" si="26"/>
        <v>0x000004D4</v>
      </c>
      <c r="B1317" s="15">
        <f>SUM_HEX(C1316:F1316,B1316,3)</f>
        <v>1236</v>
      </c>
      <c r="C1317" s="16" t="s">
        <v>507</v>
      </c>
      <c r="D1317" s="16" t="s">
        <v>23</v>
      </c>
      <c r="E1317" s="16"/>
      <c r="F1317" s="16"/>
      <c r="G1317" s="47"/>
      <c r="H1317" s="47"/>
      <c r="I1317" s="18"/>
      <c r="J1317" s="18"/>
      <c r="K1317" s="18"/>
      <c r="L1317" s="25"/>
      <c r="M1317" s="6"/>
    </row>
    <row r="1318" s="4" customFormat="1" hidden="1" customHeight="1" spans="1:13">
      <c r="A1318" s="14" t="str">
        <f t="shared" si="26"/>
        <v>0x000004DC</v>
      </c>
      <c r="B1318" s="15">
        <f>SUM_HEX(C1317:F1317,B1317,3)</f>
        <v>1244</v>
      </c>
      <c r="C1318" s="16" t="s">
        <v>274</v>
      </c>
      <c r="D1318" s="16"/>
      <c r="E1318" s="16"/>
      <c r="F1318" s="16"/>
      <c r="G1318" s="48"/>
      <c r="H1318" s="48"/>
      <c r="I1318" s="18"/>
      <c r="J1318" s="18"/>
      <c r="K1318" s="18"/>
      <c r="L1318" s="25"/>
      <c r="M1318" s="6"/>
    </row>
    <row r="1319" s="4" customFormat="1" hidden="1" customHeight="1" spans="1:13">
      <c r="A1319" s="14" t="str">
        <f t="shared" si="26"/>
        <v>0x000004E0</v>
      </c>
      <c r="B1319" s="15">
        <f>SUM_HEX(C1318:F1318,B1318,3)</f>
        <v>1248</v>
      </c>
      <c r="C1319" s="16" t="s">
        <v>23</v>
      </c>
      <c r="D1319" s="16"/>
      <c r="E1319" s="16"/>
      <c r="F1319" s="16"/>
      <c r="G1319" s="46" t="s">
        <v>157</v>
      </c>
      <c r="H1319" s="46" t="s">
        <v>508</v>
      </c>
      <c r="I1319" s="24" t="s">
        <v>509</v>
      </c>
      <c r="J1319" s="18"/>
      <c r="K1319" s="18"/>
      <c r="L1319" s="25"/>
      <c r="M1319" s="6"/>
    </row>
    <row r="1320" s="4" customFormat="1" hidden="1" customHeight="1" spans="1:13">
      <c r="A1320" s="14" t="str">
        <f t="shared" si="26"/>
        <v>0x000004E4</v>
      </c>
      <c r="B1320" s="15">
        <f>SUM_HEX(C1319:F1319,B1319,3)</f>
        <v>1252</v>
      </c>
      <c r="C1320" s="16" t="s">
        <v>510</v>
      </c>
      <c r="D1320" s="16"/>
      <c r="E1320" s="16"/>
      <c r="F1320" s="16"/>
      <c r="G1320" s="47"/>
      <c r="H1320" s="47"/>
      <c r="I1320" s="18"/>
      <c r="J1320" s="18"/>
      <c r="K1320" s="18"/>
      <c r="L1320" s="25"/>
      <c r="M1320" s="6"/>
    </row>
    <row r="1321" s="4" customFormat="1" hidden="1" customHeight="1" spans="1:13">
      <c r="A1321" s="14" t="str">
        <f t="shared" si="26"/>
        <v>0x000004E8</v>
      </c>
      <c r="B1321" s="15">
        <f>SUM_HEX(C1320:F1320,B1320,3)</f>
        <v>1256</v>
      </c>
      <c r="C1321" s="16" t="s">
        <v>23</v>
      </c>
      <c r="D1321" s="16" t="s">
        <v>23</v>
      </c>
      <c r="E1321" s="16"/>
      <c r="F1321" s="16"/>
      <c r="G1321" s="47"/>
      <c r="H1321" s="47"/>
      <c r="I1321" s="18"/>
      <c r="J1321" s="18"/>
      <c r="K1321" s="18"/>
      <c r="L1321" s="25"/>
      <c r="M1321" s="6"/>
    </row>
    <row r="1322" s="4" customFormat="1" hidden="1" customHeight="1" spans="1:13">
      <c r="A1322" s="14" t="str">
        <f t="shared" si="26"/>
        <v>0x000004F0</v>
      </c>
      <c r="B1322" s="15">
        <f>SUM_HEX(C1321:F1321,B1321,3)</f>
        <v>1264</v>
      </c>
      <c r="C1322" s="16" t="s">
        <v>23</v>
      </c>
      <c r="D1322" s="16" t="s">
        <v>23</v>
      </c>
      <c r="E1322" s="16"/>
      <c r="F1322" s="16"/>
      <c r="G1322" s="47"/>
      <c r="H1322" s="47"/>
      <c r="I1322" s="18"/>
      <c r="J1322" s="18"/>
      <c r="K1322" s="18"/>
      <c r="L1322" s="25"/>
      <c r="M1322" s="6"/>
    </row>
    <row r="1323" s="4" customFormat="1" hidden="1" customHeight="1" spans="1:13">
      <c r="A1323" s="14" t="str">
        <f t="shared" si="26"/>
        <v>0x000004F8</v>
      </c>
      <c r="B1323" s="15">
        <f>SUM_HEX(C1322:F1322,B1322,3)</f>
        <v>1272</v>
      </c>
      <c r="C1323" s="16" t="s">
        <v>274</v>
      </c>
      <c r="D1323" s="16"/>
      <c r="E1323" s="16"/>
      <c r="F1323" s="16"/>
      <c r="G1323" s="48"/>
      <c r="H1323" s="48"/>
      <c r="I1323" s="18"/>
      <c r="J1323" s="18"/>
      <c r="K1323" s="18"/>
      <c r="L1323" s="25"/>
      <c r="M1323" s="6"/>
    </row>
    <row r="1324" s="4" customFormat="1" hidden="1" customHeight="1" spans="1:13">
      <c r="A1324" s="14" t="str">
        <f t="shared" si="26"/>
        <v>0x000004FC</v>
      </c>
      <c r="B1324" s="15">
        <f>SUM_HEX(C1323:F1323,B1323,3)</f>
        <v>1276</v>
      </c>
      <c r="C1324" s="16" t="s">
        <v>23</v>
      </c>
      <c r="D1324" s="16"/>
      <c r="E1324" s="16"/>
      <c r="F1324" s="16"/>
      <c r="G1324" s="46" t="s">
        <v>157</v>
      </c>
      <c r="H1324" s="46" t="s">
        <v>326</v>
      </c>
      <c r="I1324" s="24" t="s">
        <v>511</v>
      </c>
      <c r="J1324" s="18"/>
      <c r="K1324" s="18" t="s">
        <v>512</v>
      </c>
      <c r="L1324" s="25" t="s">
        <v>333</v>
      </c>
      <c r="M1324" s="6"/>
    </row>
    <row r="1325" s="4" customFormat="1" hidden="1" customHeight="1" spans="1:13">
      <c r="A1325" s="14" t="str">
        <f t="shared" si="26"/>
        <v>0x00000500</v>
      </c>
      <c r="B1325" s="15">
        <f>SUM_HEX(C1324:F1324,B1324,3)</f>
        <v>1280</v>
      </c>
      <c r="C1325" s="16" t="s">
        <v>513</v>
      </c>
      <c r="D1325" s="16"/>
      <c r="E1325" s="16"/>
      <c r="F1325" s="16"/>
      <c r="G1325" s="47"/>
      <c r="H1325" s="47"/>
      <c r="I1325" s="18"/>
      <c r="J1325" s="18"/>
      <c r="K1325" s="18"/>
      <c r="L1325" s="25"/>
      <c r="M1325" s="6"/>
    </row>
    <row r="1326" s="4" customFormat="1" hidden="1" customHeight="1" spans="1:13">
      <c r="A1326" s="14" t="str">
        <f t="shared" si="26"/>
        <v>0x00000504</v>
      </c>
      <c r="B1326" s="15">
        <f>SUM_HEX(C1325:F1325,B1325,3)</f>
        <v>1284</v>
      </c>
      <c r="C1326" s="16" t="s">
        <v>23</v>
      </c>
      <c r="D1326" s="16" t="s">
        <v>23</v>
      </c>
      <c r="E1326" s="16" t="s">
        <v>23</v>
      </c>
      <c r="F1326" s="16"/>
      <c r="G1326" s="47"/>
      <c r="H1326" s="47"/>
      <c r="I1326" s="18"/>
      <c r="J1326" s="18"/>
      <c r="K1326" s="18"/>
      <c r="L1326" s="25"/>
      <c r="M1326" s="6"/>
    </row>
    <row r="1327" s="4" customFormat="1" hidden="1" customHeight="1" spans="1:13">
      <c r="A1327" s="14" t="str">
        <f t="shared" si="26"/>
        <v>0x00000510</v>
      </c>
      <c r="B1327" s="15">
        <f>SUM_HEX(C1326:F1326,B1326,3)</f>
        <v>1296</v>
      </c>
      <c r="C1327" s="16" t="s">
        <v>23</v>
      </c>
      <c r="D1327" s="16" t="s">
        <v>23</v>
      </c>
      <c r="E1327" s="16" t="s">
        <v>23</v>
      </c>
      <c r="F1327" s="16"/>
      <c r="G1327" s="47"/>
      <c r="H1327" s="47"/>
      <c r="I1327" s="18"/>
      <c r="J1327" s="18"/>
      <c r="K1327" s="18"/>
      <c r="L1327" s="25"/>
      <c r="M1327" s="6"/>
    </row>
    <row r="1328" s="4" customFormat="1" hidden="1" customHeight="1" spans="1:13">
      <c r="A1328" s="14" t="str">
        <f t="shared" si="26"/>
        <v>0x0000051C</v>
      </c>
      <c r="B1328" s="15">
        <f>SUM_HEX(C1327:F1327,B1327,3)</f>
        <v>1308</v>
      </c>
      <c r="C1328" s="16" t="s">
        <v>274</v>
      </c>
      <c r="D1328" s="16"/>
      <c r="E1328" s="16"/>
      <c r="F1328" s="16"/>
      <c r="G1328" s="48"/>
      <c r="H1328" s="48"/>
      <c r="I1328" s="18"/>
      <c r="J1328" s="18"/>
      <c r="K1328" s="18"/>
      <c r="L1328" s="25"/>
      <c r="M1328" s="6"/>
    </row>
    <row r="1329" s="4" customFormat="1" hidden="1" customHeight="1" spans="1:13">
      <c r="A1329" s="14" t="str">
        <f t="shared" si="26"/>
        <v>0x00000520</v>
      </c>
      <c r="B1329" s="15">
        <f>SUM_HEX(C1328:F1328,B1328,3)</f>
        <v>1312</v>
      </c>
      <c r="C1329" s="16" t="s">
        <v>23</v>
      </c>
      <c r="D1329" s="16"/>
      <c r="E1329" s="16"/>
      <c r="F1329" s="16"/>
      <c r="G1329" s="46" t="s">
        <v>157</v>
      </c>
      <c r="H1329" s="46" t="s">
        <v>508</v>
      </c>
      <c r="I1329" s="24" t="s">
        <v>514</v>
      </c>
      <c r="J1329" s="18"/>
      <c r="K1329" s="18"/>
      <c r="L1329" s="25"/>
      <c r="M1329" s="6"/>
    </row>
    <row r="1330" s="4" customFormat="1" hidden="1" customHeight="1" spans="1:13">
      <c r="A1330" s="14" t="str">
        <f t="shared" si="26"/>
        <v>0x00000524</v>
      </c>
      <c r="B1330" s="15">
        <f>SUM_HEX(C1329:F1329,B1329,3)</f>
        <v>1316</v>
      </c>
      <c r="C1330" s="16" t="s">
        <v>515</v>
      </c>
      <c r="D1330" s="16"/>
      <c r="E1330" s="16"/>
      <c r="F1330" s="16"/>
      <c r="G1330" s="47"/>
      <c r="H1330" s="47"/>
      <c r="I1330" s="18"/>
      <c r="J1330" s="18"/>
      <c r="K1330" s="18"/>
      <c r="L1330" s="25"/>
      <c r="M1330" s="6"/>
    </row>
    <row r="1331" s="4" customFormat="1" hidden="1" customHeight="1" spans="1:13">
      <c r="A1331" s="14" t="str">
        <f t="shared" si="26"/>
        <v>0x00000528</v>
      </c>
      <c r="B1331" s="15">
        <f>SUM_HEX(C1330:F1330,B1330,3)</f>
        <v>1320</v>
      </c>
      <c r="C1331" s="16" t="s">
        <v>148</v>
      </c>
      <c r="D1331" s="16" t="s">
        <v>148</v>
      </c>
      <c r="E1331" s="16"/>
      <c r="F1331" s="16"/>
      <c r="G1331" s="47"/>
      <c r="H1331" s="47"/>
      <c r="I1331" s="18"/>
      <c r="J1331" s="18"/>
      <c r="K1331" s="18"/>
      <c r="L1331" s="25"/>
      <c r="M1331" s="6"/>
    </row>
    <row r="1332" s="4" customFormat="1" hidden="1" customHeight="1" spans="1:13">
      <c r="A1332" s="14" t="str">
        <f t="shared" si="26"/>
        <v>0x00000530</v>
      </c>
      <c r="B1332" s="15">
        <f>SUM_HEX(C1331:F1331,B1331,3)</f>
        <v>1328</v>
      </c>
      <c r="C1332" s="16" t="s">
        <v>148</v>
      </c>
      <c r="D1332" s="16" t="s">
        <v>148</v>
      </c>
      <c r="E1332" s="16"/>
      <c r="F1332" s="16"/>
      <c r="G1332" s="47"/>
      <c r="H1332" s="47"/>
      <c r="I1332" s="18"/>
      <c r="J1332" s="18"/>
      <c r="K1332" s="18"/>
      <c r="L1332" s="25"/>
      <c r="M1332" s="6"/>
    </row>
    <row r="1333" s="4" customFormat="1" hidden="1" customHeight="1" spans="1:13">
      <c r="A1333" s="14" t="str">
        <f t="shared" si="26"/>
        <v>0x00000538</v>
      </c>
      <c r="B1333" s="15">
        <f>SUM_HEX(C1332:F1332,B1332,3)</f>
        <v>1336</v>
      </c>
      <c r="C1333" s="16" t="s">
        <v>274</v>
      </c>
      <c r="D1333" s="16"/>
      <c r="E1333" s="16"/>
      <c r="F1333" s="16"/>
      <c r="G1333" s="48"/>
      <c r="H1333" s="48"/>
      <c r="I1333" s="18"/>
      <c r="J1333" s="18"/>
      <c r="K1333" s="18"/>
      <c r="L1333" s="25"/>
      <c r="M1333" s="6"/>
    </row>
    <row r="1334" s="4" customFormat="1" hidden="1" customHeight="1" spans="1:13">
      <c r="A1334" s="14" t="str">
        <f t="shared" si="26"/>
        <v>0x0000053C</v>
      </c>
      <c r="B1334" s="15">
        <f>SUM_HEX(C1333:F1333,B1333,3)</f>
        <v>1340</v>
      </c>
      <c r="C1334" s="16" t="s">
        <v>23</v>
      </c>
      <c r="D1334" s="16" t="s">
        <v>23</v>
      </c>
      <c r="E1334" s="16" t="s">
        <v>23</v>
      </c>
      <c r="F1334" s="16"/>
      <c r="G1334" s="18" t="s">
        <v>24</v>
      </c>
      <c r="H1334" s="18" t="s">
        <v>537</v>
      </c>
      <c r="I1334" s="24" t="s">
        <v>517</v>
      </c>
      <c r="J1334" s="18"/>
      <c r="K1334" s="18" t="s">
        <v>405</v>
      </c>
      <c r="L1334" s="25" t="s">
        <v>280</v>
      </c>
      <c r="M1334" s="6"/>
    </row>
    <row r="1335" s="4" customFormat="1" hidden="1" customHeight="1" spans="1:13">
      <c r="A1335" s="14" t="str">
        <f t="shared" si="26"/>
        <v>0x00000548</v>
      </c>
      <c r="B1335" s="15">
        <f>SUM_HEX(C1334:F1334,B1334,3)</f>
        <v>1352</v>
      </c>
      <c r="C1335" s="16" t="s">
        <v>23</v>
      </c>
      <c r="D1335" s="16"/>
      <c r="E1335" s="16"/>
      <c r="F1335" s="16"/>
      <c r="G1335" s="18" t="s">
        <v>212</v>
      </c>
      <c r="H1335" s="18"/>
      <c r="I1335" s="24" t="s">
        <v>518</v>
      </c>
      <c r="J1335" s="18"/>
      <c r="K1335" s="18"/>
      <c r="L1335" s="25"/>
      <c r="M1335" s="6"/>
    </row>
    <row r="1336" s="4" customFormat="1" hidden="1" customHeight="1" spans="1:13">
      <c r="A1336" s="14" t="str">
        <f t="shared" si="26"/>
        <v>0x0000054C</v>
      </c>
      <c r="B1336" s="15">
        <f>SUM_HEX(C1335:F1335,B1335,3)</f>
        <v>1356</v>
      </c>
      <c r="C1336" s="16" t="s">
        <v>29</v>
      </c>
      <c r="D1336" s="16"/>
      <c r="E1336" s="16"/>
      <c r="F1336" s="16"/>
      <c r="G1336" s="18" t="s">
        <v>15</v>
      </c>
      <c r="H1336" s="18"/>
      <c r="I1336" s="24" t="s">
        <v>519</v>
      </c>
      <c r="J1336" s="18"/>
      <c r="K1336" s="18" t="s">
        <v>520</v>
      </c>
      <c r="L1336" s="25"/>
      <c r="M1336" s="6"/>
    </row>
    <row r="1337" s="4" customFormat="1" hidden="1" customHeight="1" spans="1:13">
      <c r="A1337" s="14" t="str">
        <f t="shared" si="26"/>
        <v>0x00000550</v>
      </c>
      <c r="B1337" s="15">
        <f>SUM_HEX(C1336:F1336,B1336,3)</f>
        <v>1360</v>
      </c>
      <c r="C1337" s="16" t="s">
        <v>23</v>
      </c>
      <c r="D1337" s="16"/>
      <c r="E1337" s="16"/>
      <c r="F1337" s="16"/>
      <c r="G1337" s="18" t="s">
        <v>15</v>
      </c>
      <c r="H1337" s="18"/>
      <c r="I1337" s="24" t="s">
        <v>521</v>
      </c>
      <c r="J1337" s="18"/>
      <c r="K1337" s="18" t="s">
        <v>520</v>
      </c>
      <c r="L1337" s="25"/>
      <c r="M1337" s="6"/>
    </row>
    <row r="1338" s="4" customFormat="1" hidden="1" customHeight="1" spans="1:13">
      <c r="A1338" s="14" t="str">
        <f t="shared" si="26"/>
        <v>0x00000554</v>
      </c>
      <c r="B1338" s="15">
        <f>SUM_HEX(C1337:F1337,B1337,3)</f>
        <v>1364</v>
      </c>
      <c r="C1338" s="16" t="s">
        <v>23</v>
      </c>
      <c r="D1338" s="16"/>
      <c r="E1338" s="16"/>
      <c r="F1338" s="16"/>
      <c r="G1338" s="46" t="s">
        <v>157</v>
      </c>
      <c r="H1338" s="46" t="s">
        <v>212</v>
      </c>
      <c r="I1338" s="18" t="s">
        <v>522</v>
      </c>
      <c r="J1338" s="18"/>
      <c r="K1338" s="18"/>
      <c r="L1338" s="25"/>
      <c r="M1338" s="6"/>
    </row>
    <row r="1339" s="4" customFormat="1" hidden="1" customHeight="1" spans="1:13">
      <c r="A1339" s="14" t="str">
        <f t="shared" si="26"/>
        <v>0x00000558</v>
      </c>
      <c r="B1339" s="15">
        <f>SUM_HEX(C1338:F1338,B1338,3)</f>
        <v>1368</v>
      </c>
      <c r="C1339" s="16" t="s">
        <v>523</v>
      </c>
      <c r="D1339" s="16"/>
      <c r="E1339" s="16"/>
      <c r="F1339" s="16"/>
      <c r="G1339" s="47"/>
      <c r="H1339" s="47"/>
      <c r="I1339" s="18"/>
      <c r="J1339" s="18"/>
      <c r="K1339" s="18"/>
      <c r="L1339" s="25"/>
      <c r="M1339" s="6"/>
    </row>
    <row r="1340" s="4" customFormat="1" hidden="1" customHeight="1" spans="1:13">
      <c r="A1340" s="14" t="str">
        <f t="shared" si="26"/>
        <v>0x0000055C</v>
      </c>
      <c r="B1340" s="15">
        <f>SUM_HEX(C1339:F1339,B1339,3)</f>
        <v>1372</v>
      </c>
      <c r="C1340" s="16" t="s">
        <v>23</v>
      </c>
      <c r="D1340" s="16" t="s">
        <v>23</v>
      </c>
      <c r="E1340" s="16"/>
      <c r="F1340" s="16"/>
      <c r="G1340" s="47"/>
      <c r="H1340" s="47"/>
      <c r="I1340" s="18"/>
      <c r="J1340" s="18"/>
      <c r="K1340" s="18"/>
      <c r="L1340" s="25"/>
      <c r="M1340" s="6"/>
    </row>
    <row r="1341" s="4" customFormat="1" hidden="1" customHeight="1" spans="1:13">
      <c r="A1341" s="14" t="str">
        <f t="shared" si="26"/>
        <v>0x00000564</v>
      </c>
      <c r="B1341" s="15">
        <f>SUM_HEX(C1340:F1340,B1340,3)</f>
        <v>1380</v>
      </c>
      <c r="C1341" s="16" t="s">
        <v>274</v>
      </c>
      <c r="D1341" s="16"/>
      <c r="E1341" s="16"/>
      <c r="F1341" s="16"/>
      <c r="G1341" s="48"/>
      <c r="H1341" s="48"/>
      <c r="I1341" s="18"/>
      <c r="J1341" s="18"/>
      <c r="K1341" s="18"/>
      <c r="L1341" s="25"/>
      <c r="M1341" s="6"/>
    </row>
    <row r="1342" s="4" customFormat="1" hidden="1" customHeight="1" spans="1:13">
      <c r="A1342" s="14" t="str">
        <f t="shared" si="26"/>
        <v>0x00000568</v>
      </c>
      <c r="B1342" s="15">
        <f>SUM_HEX(C1341:F1341,B1341,3)</f>
        <v>1384</v>
      </c>
      <c r="C1342" s="16" t="s">
        <v>23</v>
      </c>
      <c r="D1342" s="16"/>
      <c r="E1342" s="16"/>
      <c r="F1342" s="16"/>
      <c r="G1342" s="46" t="s">
        <v>157</v>
      </c>
      <c r="H1342" s="46" t="s">
        <v>212</v>
      </c>
      <c r="I1342" s="18" t="s">
        <v>524</v>
      </c>
      <c r="J1342" s="18"/>
      <c r="K1342" s="18"/>
      <c r="L1342" s="25"/>
      <c r="M1342" s="6"/>
    </row>
    <row r="1343" s="4" customFormat="1" hidden="1" customHeight="1" spans="1:13">
      <c r="A1343" s="14" t="str">
        <f t="shared" si="26"/>
        <v>0x0000056C</v>
      </c>
      <c r="B1343" s="15">
        <f>SUM_HEX(C1342:F1342,B1342,3)</f>
        <v>1388</v>
      </c>
      <c r="C1343" s="16" t="s">
        <v>525</v>
      </c>
      <c r="D1343" s="16"/>
      <c r="E1343" s="16"/>
      <c r="F1343" s="16"/>
      <c r="G1343" s="47"/>
      <c r="H1343" s="47"/>
      <c r="I1343" s="18"/>
      <c r="J1343" s="18"/>
      <c r="K1343" s="18"/>
      <c r="L1343" s="25"/>
      <c r="M1343" s="6"/>
    </row>
    <row r="1344" s="4" customFormat="1" hidden="1" customHeight="1" spans="1:13">
      <c r="A1344" s="14" t="str">
        <f t="shared" si="26"/>
        <v>0x00000570</v>
      </c>
      <c r="B1344" s="15">
        <f>SUM_HEX(C1343:F1343,B1343,3)</f>
        <v>1392</v>
      </c>
      <c r="C1344" s="16" t="s">
        <v>148</v>
      </c>
      <c r="D1344" s="16" t="s">
        <v>23</v>
      </c>
      <c r="E1344" s="16"/>
      <c r="F1344" s="16"/>
      <c r="G1344" s="47"/>
      <c r="H1344" s="47"/>
      <c r="I1344" s="18"/>
      <c r="J1344" s="18"/>
      <c r="K1344" s="18"/>
      <c r="L1344" s="25"/>
      <c r="M1344" s="6"/>
    </row>
    <row r="1345" s="4" customFormat="1" hidden="1" customHeight="1" spans="1:13">
      <c r="A1345" s="14" t="str">
        <f t="shared" si="26"/>
        <v>0x00000578</v>
      </c>
      <c r="B1345" s="15">
        <f>SUM_HEX(C1344:F1344,B1344,3)</f>
        <v>1400</v>
      </c>
      <c r="C1345" s="16" t="s">
        <v>274</v>
      </c>
      <c r="D1345" s="16"/>
      <c r="E1345" s="16"/>
      <c r="F1345" s="16"/>
      <c r="G1345" s="48"/>
      <c r="H1345" s="48"/>
      <c r="I1345" s="18"/>
      <c r="J1345" s="18"/>
      <c r="K1345" s="18"/>
      <c r="L1345" s="25"/>
      <c r="M1345" s="6"/>
    </row>
    <row r="1346" s="4" customFormat="1" hidden="1" customHeight="1" spans="1:13">
      <c r="A1346" s="14" t="str">
        <f t="shared" si="26"/>
        <v>0x0000057C</v>
      </c>
      <c r="B1346" s="15">
        <f>SUM_HEX(C1345:F1345,B1345,3)</f>
        <v>1404</v>
      </c>
      <c r="C1346" s="16" t="s">
        <v>274</v>
      </c>
      <c r="D1346" s="16"/>
      <c r="E1346" s="16"/>
      <c r="F1346" s="16"/>
      <c r="G1346" s="18" t="s">
        <v>15</v>
      </c>
      <c r="H1346" s="18"/>
      <c r="I1346" s="24" t="s">
        <v>526</v>
      </c>
      <c r="J1346" s="18"/>
      <c r="K1346" s="18" t="s">
        <v>405</v>
      </c>
      <c r="L1346" s="25" t="s">
        <v>280</v>
      </c>
      <c r="M1346" s="6"/>
    </row>
    <row r="1347" s="4" customFormat="1" hidden="1" customHeight="1" spans="1:13">
      <c r="A1347" s="14" t="str">
        <f t="shared" si="26"/>
        <v>0x00000580</v>
      </c>
      <c r="B1347" s="15">
        <f>SUM_HEX(C1346:F1346,B1346,3)</f>
        <v>1408</v>
      </c>
      <c r="C1347" s="16" t="s">
        <v>23</v>
      </c>
      <c r="D1347" s="16"/>
      <c r="E1347" s="16"/>
      <c r="F1347" s="16"/>
      <c r="G1347" s="18" t="s">
        <v>212</v>
      </c>
      <c r="H1347" s="18"/>
      <c r="I1347" s="24" t="s">
        <v>527</v>
      </c>
      <c r="J1347" s="18"/>
      <c r="K1347" s="18"/>
      <c r="L1347" s="25" t="s">
        <v>272</v>
      </c>
      <c r="M1347" s="6"/>
    </row>
    <row r="1348" s="4" customFormat="1" hidden="1" customHeight="1" spans="1:13">
      <c r="A1348" s="14" t="str">
        <f t="shared" si="26"/>
        <v>0x00000584</v>
      </c>
      <c r="B1348" s="15">
        <f>SUM_HEX(C1347:F1347,B1347,3)</f>
        <v>1412</v>
      </c>
      <c r="C1348" s="16" t="s">
        <v>23</v>
      </c>
      <c r="D1348" s="16"/>
      <c r="E1348" s="16"/>
      <c r="F1348" s="16"/>
      <c r="G1348" s="46" t="s">
        <v>157</v>
      </c>
      <c r="H1348" s="46" t="s">
        <v>212</v>
      </c>
      <c r="I1348" s="18" t="s">
        <v>528</v>
      </c>
      <c r="J1348" s="18"/>
      <c r="K1348" s="18"/>
      <c r="L1348" s="25"/>
      <c r="M1348" s="6"/>
    </row>
    <row r="1349" s="4" customFormat="1" hidden="1" customHeight="1" spans="1:13">
      <c r="A1349" s="14" t="str">
        <f t="shared" si="26"/>
        <v>0x00000588</v>
      </c>
      <c r="B1349" s="15">
        <f>SUM_HEX(C1348:F1348,B1348,3)</f>
        <v>1416</v>
      </c>
      <c r="C1349" s="16" t="s">
        <v>529</v>
      </c>
      <c r="D1349" s="16"/>
      <c r="E1349" s="16"/>
      <c r="F1349" s="16"/>
      <c r="G1349" s="47"/>
      <c r="H1349" s="47"/>
      <c r="I1349" s="18"/>
      <c r="J1349" s="18"/>
      <c r="K1349" s="18"/>
      <c r="L1349" s="25"/>
      <c r="M1349" s="6"/>
    </row>
    <row r="1350" s="4" customFormat="1" hidden="1" customHeight="1" spans="1:13">
      <c r="A1350" s="14" t="str">
        <f t="shared" si="26"/>
        <v>0x0000058C</v>
      </c>
      <c r="B1350" s="15">
        <f>SUM_HEX(C1349:F1349,B1349,3)</f>
        <v>1420</v>
      </c>
      <c r="C1350" s="16" t="s">
        <v>23</v>
      </c>
      <c r="D1350" s="16" t="s">
        <v>23</v>
      </c>
      <c r="E1350" s="16"/>
      <c r="F1350" s="16"/>
      <c r="G1350" s="47"/>
      <c r="H1350" s="47"/>
      <c r="I1350" s="18"/>
      <c r="J1350" s="18"/>
      <c r="K1350" s="18"/>
      <c r="L1350" s="25"/>
      <c r="M1350" s="6"/>
    </row>
    <row r="1351" s="4" customFormat="1" hidden="1" customHeight="1" spans="1:13">
      <c r="A1351" s="14" t="str">
        <f t="shared" si="26"/>
        <v>0x00000594</v>
      </c>
      <c r="B1351" s="15">
        <f>SUM_HEX(C1350:F1350,B1350,3)</f>
        <v>1428</v>
      </c>
      <c r="C1351" s="16" t="s">
        <v>274</v>
      </c>
      <c r="D1351" s="16"/>
      <c r="E1351" s="16"/>
      <c r="F1351" s="16"/>
      <c r="G1351" s="48"/>
      <c r="H1351" s="48"/>
      <c r="I1351" s="18"/>
      <c r="J1351" s="18"/>
      <c r="K1351" s="18"/>
      <c r="L1351" s="25"/>
      <c r="M1351" s="6"/>
    </row>
    <row r="1352" s="4" customFormat="1" hidden="1" customHeight="1" spans="1:13">
      <c r="A1352" s="14" t="str">
        <f t="shared" si="26"/>
        <v>0x00000598</v>
      </c>
      <c r="B1352" s="15">
        <f>SUM_HEX(C1351:F1351,B1351,3)</f>
        <v>1432</v>
      </c>
      <c r="C1352" s="16" t="s">
        <v>274</v>
      </c>
      <c r="D1352" s="16"/>
      <c r="E1352" s="16"/>
      <c r="F1352" s="16"/>
      <c r="G1352" s="18" t="s">
        <v>15</v>
      </c>
      <c r="H1352" s="18"/>
      <c r="I1352" s="24" t="s">
        <v>530</v>
      </c>
      <c r="J1352" s="18"/>
      <c r="K1352" s="18" t="s">
        <v>405</v>
      </c>
      <c r="L1352" s="25" t="s">
        <v>280</v>
      </c>
      <c r="M1352" s="6"/>
    </row>
    <row r="1353" s="4" customFormat="1" hidden="1" customHeight="1" spans="1:13">
      <c r="A1353" s="14" t="str">
        <f t="shared" si="26"/>
        <v>0x0000059C</v>
      </c>
      <c r="B1353" s="15">
        <f>SUM_HEX(C1352:F1352,B1352,3)</f>
        <v>1436</v>
      </c>
      <c r="C1353" s="16" t="s">
        <v>23</v>
      </c>
      <c r="D1353" s="16"/>
      <c r="E1353" s="16"/>
      <c r="F1353" s="16"/>
      <c r="G1353" s="18" t="s">
        <v>212</v>
      </c>
      <c r="H1353" s="18"/>
      <c r="I1353" s="24" t="s">
        <v>531</v>
      </c>
      <c r="J1353" s="18"/>
      <c r="K1353" s="18"/>
      <c r="L1353" s="25" t="s">
        <v>272</v>
      </c>
      <c r="M1353" s="6"/>
    </row>
    <row r="1354" s="4" customFormat="1" hidden="1" customHeight="1" spans="1:13">
      <c r="A1354" s="14" t="str">
        <f t="shared" si="26"/>
        <v>0x000005A0</v>
      </c>
      <c r="B1354" s="15">
        <f>SUM_HEX(C1353:F1353,B1353,3)</f>
        <v>1440</v>
      </c>
      <c r="C1354" s="16" t="s">
        <v>23</v>
      </c>
      <c r="D1354" s="16" t="s">
        <v>23</v>
      </c>
      <c r="E1354" s="16" t="s">
        <v>23</v>
      </c>
      <c r="F1354" s="16"/>
      <c r="G1354" s="18" t="s">
        <v>24</v>
      </c>
      <c r="H1354" s="18" t="s">
        <v>538</v>
      </c>
      <c r="I1354" s="24" t="s">
        <v>533</v>
      </c>
      <c r="J1354" s="18"/>
      <c r="K1354" s="18"/>
      <c r="L1354" s="25"/>
      <c r="M1354" s="6"/>
    </row>
    <row r="1355" s="4" customFormat="1" hidden="1" customHeight="1" spans="1:13">
      <c r="A1355" s="14" t="str">
        <f t="shared" si="26"/>
        <v>0x000005AC</v>
      </c>
      <c r="B1355" s="15">
        <f>SUM_HEX(C1354:F1354,B1354,3)</f>
        <v>1452</v>
      </c>
      <c r="C1355" s="16" t="s">
        <v>23</v>
      </c>
      <c r="D1355" s="16" t="s">
        <v>23</v>
      </c>
      <c r="E1355" s="16" t="s">
        <v>23</v>
      </c>
      <c r="F1355" s="16"/>
      <c r="G1355" s="18"/>
      <c r="H1355" s="18"/>
      <c r="I1355" s="24"/>
      <c r="J1355" s="18"/>
      <c r="K1355" s="18"/>
      <c r="L1355" s="25"/>
      <c r="M1355" s="6"/>
    </row>
    <row r="1356" s="4" customFormat="1" customHeight="1" spans="1:13">
      <c r="A1356" s="14" t="str">
        <f t="shared" si="26"/>
        <v>0x000005B8</v>
      </c>
      <c r="B1356" s="15">
        <f>SUM_HEX(C1355:F1355,B1355,3)</f>
        <v>1464</v>
      </c>
      <c r="C1356" s="51" t="s">
        <v>23</v>
      </c>
      <c r="D1356" s="51"/>
      <c r="E1356" s="51"/>
      <c r="F1356" s="51"/>
      <c r="G1356" s="52"/>
      <c r="H1356" s="52"/>
      <c r="I1356" s="57"/>
      <c r="J1356" s="52"/>
      <c r="K1356" s="52"/>
      <c r="L1356" s="51"/>
      <c r="M1356" s="6"/>
    </row>
    <row r="1357" s="4" customFormat="1" customHeight="1" spans="1:13">
      <c r="A1357" s="14" t="str">
        <f t="shared" si="26"/>
        <v>0x000005B8</v>
      </c>
      <c r="B1357" s="15">
        <f>SUM_HEX(C1356:F1356,B1356,3)</f>
        <v>1464</v>
      </c>
      <c r="C1357" s="51" t="s">
        <v>274</v>
      </c>
      <c r="D1357" s="51"/>
      <c r="E1357" s="51"/>
      <c r="F1357" s="51"/>
      <c r="G1357" s="52"/>
      <c r="H1357" s="52"/>
      <c r="I1357" s="57"/>
      <c r="J1357" s="52"/>
      <c r="K1357" s="52"/>
      <c r="L1357" s="51"/>
      <c r="M1357" s="6"/>
    </row>
    <row r="1358" s="4" customFormat="1" customHeight="1" spans="1:13">
      <c r="A1358" s="1"/>
      <c r="B1358" s="2"/>
      <c r="C1358" s="3"/>
      <c r="D1358" s="3"/>
      <c r="E1358" s="3"/>
      <c r="F1358" s="3"/>
      <c r="I1358" s="5"/>
      <c r="L1358" s="3"/>
      <c r="M1358" s="6"/>
    </row>
    <row r="1359" customHeight="1" spans="1:3">
      <c r="A1359" s="7" t="s">
        <v>136</v>
      </c>
      <c r="B1359" s="8" t="s">
        <v>27</v>
      </c>
      <c r="C1359" s="9" t="s">
        <v>541</v>
      </c>
    </row>
    <row r="1360" customHeight="1" spans="1:12">
      <c r="A1360" s="10" t="s">
        <v>2</v>
      </c>
      <c r="B1360" s="11"/>
      <c r="C1360" s="12" t="s">
        <v>3</v>
      </c>
      <c r="D1360" s="12"/>
      <c r="E1360" s="12"/>
      <c r="F1360" s="12"/>
      <c r="G1360" s="13" t="s">
        <v>4</v>
      </c>
      <c r="H1360" s="13"/>
      <c r="I1360" s="20" t="s">
        <v>5</v>
      </c>
      <c r="J1360" s="13" t="s">
        <v>6</v>
      </c>
      <c r="K1360" s="13" t="s">
        <v>7</v>
      </c>
      <c r="L1360" s="21" t="s">
        <v>8</v>
      </c>
    </row>
    <row r="1361" hidden="1" customHeight="1" spans="1:12">
      <c r="A1361" s="14" t="str">
        <f t="shared" ref="A1361:A1363" si="27">"0x"&amp;DEC2HEX(B1361,8)</f>
        <v>0x00000000</v>
      </c>
      <c r="B1361" s="15">
        <f>0</f>
        <v>0</v>
      </c>
      <c r="C1361" s="16" t="s">
        <v>29</v>
      </c>
      <c r="D1361" s="16"/>
      <c r="E1361" s="16"/>
      <c r="F1361" s="16"/>
      <c r="G1361" s="18" t="s">
        <v>15</v>
      </c>
      <c r="H1361" s="18"/>
      <c r="I1361" s="24" t="s">
        <v>279</v>
      </c>
      <c r="J1361" s="18"/>
      <c r="K1361" s="18" t="s">
        <v>21</v>
      </c>
      <c r="L1361" s="25" t="s">
        <v>280</v>
      </c>
    </row>
    <row r="1362" hidden="1" customHeight="1" spans="1:12">
      <c r="A1362" s="14" t="str">
        <f t="shared" si="27"/>
        <v>0x00000004</v>
      </c>
      <c r="B1362" s="15">
        <f>SUM_HEX(C1361:F1361,B1361,3)</f>
        <v>4</v>
      </c>
      <c r="C1362" s="16" t="s">
        <v>22</v>
      </c>
      <c r="D1362" s="16"/>
      <c r="E1362" s="16"/>
      <c r="F1362" s="16"/>
      <c r="G1362" s="18" t="s">
        <v>15</v>
      </c>
      <c r="H1362" s="18"/>
      <c r="I1362" s="24" t="s">
        <v>281</v>
      </c>
      <c r="J1362" s="18"/>
      <c r="K1362" s="18" t="s">
        <v>21</v>
      </c>
      <c r="L1362" s="25" t="s">
        <v>280</v>
      </c>
    </row>
    <row r="1363" hidden="1" customHeight="1" spans="1:12">
      <c r="A1363" s="14" t="str">
        <f t="shared" si="27"/>
        <v>0x00000008</v>
      </c>
      <c r="B1363" s="15">
        <f>SUM_HEX(C1362:F1362,B1362,3)</f>
        <v>8</v>
      </c>
      <c r="C1363" s="16" t="s">
        <v>282</v>
      </c>
      <c r="D1363" s="16"/>
      <c r="E1363" s="16"/>
      <c r="F1363" s="16"/>
      <c r="G1363" s="18" t="s">
        <v>33</v>
      </c>
      <c r="H1363" s="18" t="s">
        <v>54</v>
      </c>
      <c r="I1363" s="24" t="s">
        <v>283</v>
      </c>
      <c r="J1363" s="24" t="s">
        <v>284</v>
      </c>
      <c r="K1363" s="18"/>
      <c r="L1363" s="25"/>
    </row>
    <row r="1364" hidden="1" customHeight="1" spans="1:12">
      <c r="A1364" s="14"/>
      <c r="B1364" s="15"/>
      <c r="C1364" s="16"/>
      <c r="D1364" s="16"/>
      <c r="E1364" s="16"/>
      <c r="F1364" s="16"/>
      <c r="G1364" s="18"/>
      <c r="H1364" s="18" t="s">
        <v>57</v>
      </c>
      <c r="I1364" s="24"/>
      <c r="J1364" s="24" t="s">
        <v>285</v>
      </c>
      <c r="K1364" s="18"/>
      <c r="L1364" s="25"/>
    </row>
    <row r="1365" hidden="1" customHeight="1" spans="1:12">
      <c r="A1365" s="14"/>
      <c r="B1365" s="15"/>
      <c r="C1365" s="16"/>
      <c r="D1365" s="16"/>
      <c r="E1365" s="16"/>
      <c r="F1365" s="16"/>
      <c r="G1365" s="18"/>
      <c r="H1365" s="18" t="s">
        <v>58</v>
      </c>
      <c r="I1365" s="24"/>
      <c r="J1365" s="24" t="s">
        <v>286</v>
      </c>
      <c r="K1365" s="18"/>
      <c r="L1365" s="25"/>
    </row>
    <row r="1366" hidden="1" customHeight="1" spans="1:12">
      <c r="A1366" s="14"/>
      <c r="B1366" s="15"/>
      <c r="C1366" s="16"/>
      <c r="D1366" s="16"/>
      <c r="E1366" s="16"/>
      <c r="F1366" s="16"/>
      <c r="G1366" s="18"/>
      <c r="H1366" s="18" t="s">
        <v>59</v>
      </c>
      <c r="I1366" s="24"/>
      <c r="J1366" s="24" t="s">
        <v>287</v>
      </c>
      <c r="K1366" s="18"/>
      <c r="L1366" s="25"/>
    </row>
    <row r="1367" hidden="1" customHeight="1" spans="1:12">
      <c r="A1367" s="14" t="str">
        <f t="shared" ref="A1367:A1430" si="28">"0x"&amp;DEC2HEX(B1367,8)</f>
        <v>0x0000000C</v>
      </c>
      <c r="B1367" s="15">
        <f>SUM_HEX(C1363:F1366,B1363,3)</f>
        <v>12</v>
      </c>
      <c r="C1367" s="26" t="s">
        <v>23</v>
      </c>
      <c r="D1367" s="16"/>
      <c r="E1367" s="16"/>
      <c r="F1367" s="16"/>
      <c r="G1367" s="46" t="s">
        <v>157</v>
      </c>
      <c r="H1367" s="46" t="s">
        <v>212</v>
      </c>
      <c r="I1367" s="24" t="s">
        <v>288</v>
      </c>
      <c r="J1367" s="18"/>
      <c r="K1367" s="18" t="s">
        <v>289</v>
      </c>
      <c r="L1367" s="25" t="s">
        <v>272</v>
      </c>
    </row>
    <row r="1368" hidden="1" customHeight="1" spans="1:12">
      <c r="A1368" s="14" t="str">
        <f t="shared" si="28"/>
        <v>0x00000010</v>
      </c>
      <c r="B1368" s="15">
        <f>SUM_HEX(C1367:F1367,B1367,3)</f>
        <v>16</v>
      </c>
      <c r="C1368" s="16" t="s">
        <v>290</v>
      </c>
      <c r="D1368" s="16"/>
      <c r="E1368" s="16"/>
      <c r="F1368" s="16"/>
      <c r="G1368" s="47"/>
      <c r="H1368" s="47"/>
      <c r="I1368" s="24"/>
      <c r="J1368" s="18"/>
      <c r="K1368" s="18"/>
      <c r="L1368" s="25"/>
    </row>
    <row r="1369" hidden="1" customHeight="1" spans="1:12">
      <c r="A1369" s="14" t="str">
        <f t="shared" si="28"/>
        <v>0x00000014</v>
      </c>
      <c r="B1369" s="15">
        <f>SUM_HEX(C1368:F1368,B1368,3)</f>
        <v>20</v>
      </c>
      <c r="C1369" s="16" t="s">
        <v>148</v>
      </c>
      <c r="D1369" s="16" t="s">
        <v>23</v>
      </c>
      <c r="E1369" s="16"/>
      <c r="F1369" s="16"/>
      <c r="G1369" s="47"/>
      <c r="H1369" s="47"/>
      <c r="I1369" s="24"/>
      <c r="J1369" s="18"/>
      <c r="K1369" s="18"/>
      <c r="L1369" s="25"/>
    </row>
    <row r="1370" hidden="1" customHeight="1" spans="1:12">
      <c r="A1370" s="14" t="str">
        <f t="shared" si="28"/>
        <v>0x0000001C</v>
      </c>
      <c r="B1370" s="15">
        <f>SUM_HEX(C1369:F1369,B1369,3)</f>
        <v>28</v>
      </c>
      <c r="C1370" s="16" t="s">
        <v>274</v>
      </c>
      <c r="D1370" s="16"/>
      <c r="E1370" s="16"/>
      <c r="F1370" s="16"/>
      <c r="G1370" s="48"/>
      <c r="H1370" s="48"/>
      <c r="I1370" s="24"/>
      <c r="J1370" s="18"/>
      <c r="K1370" s="18"/>
      <c r="L1370" s="25"/>
    </row>
    <row r="1371" hidden="1" customHeight="1" spans="1:12">
      <c r="A1371" s="14" t="str">
        <f t="shared" si="28"/>
        <v>0x00000020</v>
      </c>
      <c r="B1371" s="15">
        <f>SUM_HEX(C1370:F1370,B1370,3)</f>
        <v>32</v>
      </c>
      <c r="C1371" s="16" t="s">
        <v>23</v>
      </c>
      <c r="D1371" s="16"/>
      <c r="E1371" s="16"/>
      <c r="F1371" s="16"/>
      <c r="G1371" s="46" t="s">
        <v>157</v>
      </c>
      <c r="H1371" s="46" t="s">
        <v>212</v>
      </c>
      <c r="I1371" s="24" t="s">
        <v>291</v>
      </c>
      <c r="J1371" s="18"/>
      <c r="K1371" s="18" t="s">
        <v>289</v>
      </c>
      <c r="L1371" s="25" t="s">
        <v>272</v>
      </c>
    </row>
    <row r="1372" hidden="1" customHeight="1" spans="1:12">
      <c r="A1372" s="14" t="str">
        <f t="shared" si="28"/>
        <v>0x00000024</v>
      </c>
      <c r="B1372" s="15">
        <f>SUM_HEX(C1371:F1371,B1371,3)</f>
        <v>36</v>
      </c>
      <c r="C1372" s="16" t="s">
        <v>292</v>
      </c>
      <c r="D1372" s="16"/>
      <c r="E1372" s="16"/>
      <c r="F1372" s="16"/>
      <c r="G1372" s="47"/>
      <c r="H1372" s="47"/>
      <c r="I1372" s="24"/>
      <c r="J1372" s="18"/>
      <c r="K1372" s="18"/>
      <c r="L1372" s="25"/>
    </row>
    <row r="1373" hidden="1" customHeight="1" spans="1:12">
      <c r="A1373" s="14" t="str">
        <f t="shared" si="28"/>
        <v>0x00000028</v>
      </c>
      <c r="B1373" s="15">
        <f>SUM_HEX(C1372:F1372,B1372,3)</f>
        <v>40</v>
      </c>
      <c r="C1373" s="16" t="s">
        <v>148</v>
      </c>
      <c r="D1373" s="16" t="s">
        <v>23</v>
      </c>
      <c r="E1373" s="16"/>
      <c r="F1373" s="16"/>
      <c r="G1373" s="47"/>
      <c r="H1373" s="47"/>
      <c r="I1373" s="24"/>
      <c r="J1373" s="18"/>
      <c r="K1373" s="18"/>
      <c r="L1373" s="25"/>
    </row>
    <row r="1374" hidden="1" customHeight="1" spans="1:12">
      <c r="A1374" s="14" t="str">
        <f t="shared" si="28"/>
        <v>0x00000030</v>
      </c>
      <c r="B1374" s="15">
        <f>SUM_HEX(C1373:F1373,B1373,3)</f>
        <v>48</v>
      </c>
      <c r="C1374" s="16" t="s">
        <v>274</v>
      </c>
      <c r="D1374" s="16"/>
      <c r="E1374" s="16"/>
      <c r="F1374" s="16"/>
      <c r="G1374" s="48"/>
      <c r="H1374" s="48"/>
      <c r="I1374" s="24"/>
      <c r="J1374" s="18"/>
      <c r="K1374" s="18"/>
      <c r="L1374" s="25"/>
    </row>
    <row r="1375" hidden="1" customHeight="1" spans="1:12">
      <c r="A1375" s="14" t="str">
        <f t="shared" si="28"/>
        <v>0x00000034</v>
      </c>
      <c r="B1375" s="15">
        <f>SUM_HEX(C1374:F1374,B1374,3)</f>
        <v>52</v>
      </c>
      <c r="C1375" s="16" t="s">
        <v>23</v>
      </c>
      <c r="D1375" s="16"/>
      <c r="E1375" s="16"/>
      <c r="F1375" s="16"/>
      <c r="G1375" s="46" t="s">
        <v>157</v>
      </c>
      <c r="H1375" s="46" t="s">
        <v>212</v>
      </c>
      <c r="I1375" s="24" t="s">
        <v>293</v>
      </c>
      <c r="J1375" s="18"/>
      <c r="K1375" s="18" t="s">
        <v>294</v>
      </c>
      <c r="L1375" s="25"/>
    </row>
    <row r="1376" hidden="1" customHeight="1" spans="1:12">
      <c r="A1376" s="14" t="str">
        <f t="shared" si="28"/>
        <v>0x00000038</v>
      </c>
      <c r="B1376" s="15">
        <f>SUM_HEX(C1375:F1375,B1375,3)</f>
        <v>56</v>
      </c>
      <c r="C1376" s="16" t="s">
        <v>295</v>
      </c>
      <c r="D1376" s="16"/>
      <c r="E1376" s="16"/>
      <c r="F1376" s="16"/>
      <c r="G1376" s="47"/>
      <c r="H1376" s="47"/>
      <c r="I1376" s="24"/>
      <c r="J1376" s="18"/>
      <c r="K1376" s="18"/>
      <c r="L1376" s="25"/>
    </row>
    <row r="1377" hidden="1" customHeight="1" spans="1:12">
      <c r="A1377" s="14" t="str">
        <f t="shared" si="28"/>
        <v>0x0000003C</v>
      </c>
      <c r="B1377" s="15">
        <f>SUM_HEX(C1376:F1376,B1376,3)</f>
        <v>60</v>
      </c>
      <c r="C1377" s="16" t="s">
        <v>23</v>
      </c>
      <c r="D1377" s="16" t="s">
        <v>23</v>
      </c>
      <c r="E1377" s="16"/>
      <c r="F1377" s="16"/>
      <c r="G1377" s="47"/>
      <c r="H1377" s="47"/>
      <c r="I1377" s="24"/>
      <c r="J1377" s="18"/>
      <c r="K1377" s="18"/>
      <c r="L1377" s="25"/>
    </row>
    <row r="1378" hidden="1" customHeight="1" spans="1:12">
      <c r="A1378" s="14" t="str">
        <f t="shared" si="28"/>
        <v>0x00000044</v>
      </c>
      <c r="B1378" s="15">
        <f>SUM_HEX(C1377:F1377,B1377,3)</f>
        <v>68</v>
      </c>
      <c r="C1378" s="16" t="s">
        <v>274</v>
      </c>
      <c r="D1378" s="16"/>
      <c r="E1378" s="16"/>
      <c r="F1378" s="16"/>
      <c r="G1378" s="48"/>
      <c r="H1378" s="48"/>
      <c r="I1378" s="24"/>
      <c r="J1378" s="18"/>
      <c r="K1378" s="18"/>
      <c r="L1378" s="25"/>
    </row>
    <row r="1379" hidden="1" customHeight="1" spans="1:12">
      <c r="A1379" s="14" t="str">
        <f t="shared" si="28"/>
        <v>0x00000048</v>
      </c>
      <c r="B1379" s="15">
        <f>SUM_HEX(C1378:F1378,B1378,3)</f>
        <v>72</v>
      </c>
      <c r="C1379" s="16" t="s">
        <v>23</v>
      </c>
      <c r="D1379" s="16"/>
      <c r="E1379" s="16"/>
      <c r="F1379" s="16"/>
      <c r="G1379" s="46" t="s">
        <v>157</v>
      </c>
      <c r="H1379" s="46" t="s">
        <v>212</v>
      </c>
      <c r="I1379" s="24" t="s">
        <v>296</v>
      </c>
      <c r="J1379" s="18"/>
      <c r="K1379" s="18" t="s">
        <v>294</v>
      </c>
      <c r="L1379" s="25"/>
    </row>
    <row r="1380" hidden="1" customHeight="1" spans="1:12">
      <c r="A1380" s="14" t="str">
        <f t="shared" si="28"/>
        <v>0x0000004C</v>
      </c>
      <c r="B1380" s="15">
        <f>SUM_HEX(C1379:F1379,B1379,3)</f>
        <v>76</v>
      </c>
      <c r="C1380" s="16" t="s">
        <v>297</v>
      </c>
      <c r="D1380" s="16"/>
      <c r="E1380" s="16"/>
      <c r="F1380" s="16"/>
      <c r="G1380" s="47"/>
      <c r="H1380" s="47"/>
      <c r="I1380" s="24"/>
      <c r="J1380" s="18"/>
      <c r="K1380" s="18"/>
      <c r="L1380" s="25"/>
    </row>
    <row r="1381" hidden="1" customHeight="1" spans="1:12">
      <c r="A1381" s="14" t="str">
        <f t="shared" si="28"/>
        <v>0x00000050</v>
      </c>
      <c r="B1381" s="15">
        <f>SUM_HEX(C1380:F1380,B1380,3)</f>
        <v>80</v>
      </c>
      <c r="C1381" s="16" t="s">
        <v>23</v>
      </c>
      <c r="D1381" s="16" t="s">
        <v>23</v>
      </c>
      <c r="E1381" s="16"/>
      <c r="F1381" s="16"/>
      <c r="G1381" s="47"/>
      <c r="H1381" s="47"/>
      <c r="I1381" s="24"/>
      <c r="J1381" s="18"/>
      <c r="K1381" s="18"/>
      <c r="L1381" s="25"/>
    </row>
    <row r="1382" hidden="1" customHeight="1" spans="1:12">
      <c r="A1382" s="14" t="str">
        <f t="shared" si="28"/>
        <v>0x00000058</v>
      </c>
      <c r="B1382" s="15">
        <f>SUM_HEX(C1381:F1381,B1381,3)</f>
        <v>88</v>
      </c>
      <c r="C1382" s="16" t="s">
        <v>274</v>
      </c>
      <c r="D1382" s="16"/>
      <c r="E1382" s="16"/>
      <c r="F1382" s="16"/>
      <c r="G1382" s="48"/>
      <c r="H1382" s="48"/>
      <c r="I1382" s="24"/>
      <c r="J1382" s="18"/>
      <c r="K1382" s="18"/>
      <c r="L1382" s="25"/>
    </row>
    <row r="1383" hidden="1" customHeight="1" spans="1:12">
      <c r="A1383" s="14" t="str">
        <f t="shared" si="28"/>
        <v>0x0000005C</v>
      </c>
      <c r="B1383" s="15">
        <f>SUM_HEX(C1382:F1382,B1382,3)</f>
        <v>92</v>
      </c>
      <c r="C1383" s="16" t="s">
        <v>23</v>
      </c>
      <c r="D1383" s="16"/>
      <c r="E1383" s="16"/>
      <c r="F1383" s="16"/>
      <c r="G1383" s="46" t="s">
        <v>157</v>
      </c>
      <c r="H1383" s="46" t="s">
        <v>212</v>
      </c>
      <c r="I1383" s="24" t="s">
        <v>298</v>
      </c>
      <c r="J1383" s="18"/>
      <c r="K1383" s="18" t="s">
        <v>299</v>
      </c>
      <c r="L1383" s="25" t="s">
        <v>300</v>
      </c>
    </row>
    <row r="1384" hidden="1" customHeight="1" spans="1:12">
      <c r="A1384" s="14" t="str">
        <f t="shared" si="28"/>
        <v>0x00000060</v>
      </c>
      <c r="B1384" s="15">
        <f>SUM_HEX(C1383:F1383,B1383,3)</f>
        <v>96</v>
      </c>
      <c r="C1384" s="16" t="s">
        <v>301</v>
      </c>
      <c r="D1384" s="16"/>
      <c r="E1384" s="16"/>
      <c r="F1384" s="16"/>
      <c r="G1384" s="47"/>
      <c r="H1384" s="47"/>
      <c r="I1384" s="24"/>
      <c r="J1384" s="18"/>
      <c r="K1384" s="18"/>
      <c r="L1384" s="25"/>
    </row>
    <row r="1385" hidden="1" customHeight="1" spans="1:12">
      <c r="A1385" s="14" t="str">
        <f t="shared" si="28"/>
        <v>0x00000064</v>
      </c>
      <c r="B1385" s="15">
        <f>SUM_HEX(C1384:F1384,B1384,3)</f>
        <v>100</v>
      </c>
      <c r="C1385" s="16" t="s">
        <v>23</v>
      </c>
      <c r="D1385" s="16" t="s">
        <v>23</v>
      </c>
      <c r="E1385" s="16"/>
      <c r="F1385" s="16"/>
      <c r="G1385" s="47"/>
      <c r="H1385" s="47"/>
      <c r="I1385" s="24"/>
      <c r="J1385" s="18"/>
      <c r="K1385" s="18"/>
      <c r="L1385" s="25"/>
    </row>
    <row r="1386" hidden="1" customHeight="1" spans="1:12">
      <c r="A1386" s="14" t="str">
        <f t="shared" si="28"/>
        <v>0x0000006C</v>
      </c>
      <c r="B1386" s="15">
        <f>SUM_HEX(C1385:F1385,B1385,3)</f>
        <v>108</v>
      </c>
      <c r="C1386" s="16" t="s">
        <v>274</v>
      </c>
      <c r="D1386" s="16"/>
      <c r="E1386" s="16"/>
      <c r="F1386" s="16"/>
      <c r="G1386" s="48"/>
      <c r="H1386" s="48"/>
      <c r="I1386" s="24"/>
      <c r="J1386" s="18"/>
      <c r="K1386" s="18"/>
      <c r="L1386" s="25"/>
    </row>
    <row r="1387" hidden="1" customHeight="1" spans="1:12">
      <c r="A1387" s="14" t="str">
        <f t="shared" si="28"/>
        <v>0x00000070</v>
      </c>
      <c r="B1387" s="15">
        <f>SUM_HEX(C1386:F1386,B1386,3)</f>
        <v>112</v>
      </c>
      <c r="C1387" s="16" t="s">
        <v>23</v>
      </c>
      <c r="D1387" s="16"/>
      <c r="E1387" s="16"/>
      <c r="F1387" s="16"/>
      <c r="G1387" s="46" t="s">
        <v>157</v>
      </c>
      <c r="H1387" s="46" t="s">
        <v>212</v>
      </c>
      <c r="I1387" s="24" t="s">
        <v>302</v>
      </c>
      <c r="J1387" s="18"/>
      <c r="K1387" s="18" t="s">
        <v>299</v>
      </c>
      <c r="L1387" s="25" t="s">
        <v>300</v>
      </c>
    </row>
    <row r="1388" hidden="1" customHeight="1" spans="1:12">
      <c r="A1388" s="14" t="str">
        <f t="shared" si="28"/>
        <v>0x00000074</v>
      </c>
      <c r="B1388" s="15">
        <f>SUM_HEX(C1387:F1387,B1387,3)</f>
        <v>116</v>
      </c>
      <c r="C1388" s="16" t="s">
        <v>303</v>
      </c>
      <c r="D1388" s="16"/>
      <c r="E1388" s="16"/>
      <c r="F1388" s="16"/>
      <c r="G1388" s="47"/>
      <c r="H1388" s="47"/>
      <c r="I1388" s="24"/>
      <c r="J1388" s="18"/>
      <c r="K1388" s="18"/>
      <c r="L1388" s="25"/>
    </row>
    <row r="1389" hidden="1" customHeight="1" spans="1:12">
      <c r="A1389" s="14" t="str">
        <f t="shared" si="28"/>
        <v>0x00000078</v>
      </c>
      <c r="B1389" s="15">
        <f>SUM_HEX(C1388:F1388,B1388,3)</f>
        <v>120</v>
      </c>
      <c r="C1389" s="16" t="s">
        <v>23</v>
      </c>
      <c r="D1389" s="16" t="s">
        <v>23</v>
      </c>
      <c r="E1389" s="16"/>
      <c r="F1389" s="16"/>
      <c r="G1389" s="47"/>
      <c r="H1389" s="47"/>
      <c r="I1389" s="24"/>
      <c r="J1389" s="18"/>
      <c r="K1389" s="18"/>
      <c r="L1389" s="25"/>
    </row>
    <row r="1390" hidden="1" customHeight="1" spans="1:12">
      <c r="A1390" s="14" t="str">
        <f t="shared" si="28"/>
        <v>0x00000080</v>
      </c>
      <c r="B1390" s="15">
        <f>SUM_HEX(C1389:F1389,B1389,3)</f>
        <v>128</v>
      </c>
      <c r="C1390" s="16" t="s">
        <v>274</v>
      </c>
      <c r="D1390" s="16"/>
      <c r="E1390" s="16"/>
      <c r="F1390" s="16"/>
      <c r="G1390" s="48"/>
      <c r="H1390" s="48"/>
      <c r="I1390" s="24"/>
      <c r="J1390" s="18"/>
      <c r="K1390" s="18"/>
      <c r="L1390" s="25"/>
    </row>
    <row r="1391" hidden="1" customHeight="1" spans="1:12">
      <c r="A1391" s="14" t="str">
        <f t="shared" si="28"/>
        <v>0x00000084</v>
      </c>
      <c r="B1391" s="15">
        <f>SUM_HEX(C1390:F1390,B1390,3)</f>
        <v>132</v>
      </c>
      <c r="C1391" s="16" t="s">
        <v>23</v>
      </c>
      <c r="D1391" s="16"/>
      <c r="E1391" s="16"/>
      <c r="F1391" s="16"/>
      <c r="G1391" s="46" t="s">
        <v>157</v>
      </c>
      <c r="H1391" s="46" t="s">
        <v>212</v>
      </c>
      <c r="I1391" s="24" t="s">
        <v>304</v>
      </c>
      <c r="J1391" s="18"/>
      <c r="K1391" s="18" t="s">
        <v>305</v>
      </c>
      <c r="L1391" s="25"/>
    </row>
    <row r="1392" hidden="1" customHeight="1" spans="1:12">
      <c r="A1392" s="14" t="str">
        <f t="shared" si="28"/>
        <v>0x00000088</v>
      </c>
      <c r="B1392" s="15">
        <f>SUM_HEX(C1391:F1391,B1391,3)</f>
        <v>136</v>
      </c>
      <c r="C1392" s="16" t="s">
        <v>306</v>
      </c>
      <c r="D1392" s="16"/>
      <c r="E1392" s="16"/>
      <c r="F1392" s="16"/>
      <c r="G1392" s="47"/>
      <c r="H1392" s="47"/>
      <c r="I1392" s="24"/>
      <c r="J1392" s="18"/>
      <c r="K1392" s="18"/>
      <c r="L1392" s="25"/>
    </row>
    <row r="1393" hidden="1" customHeight="1" spans="1:12">
      <c r="A1393" s="14" t="str">
        <f t="shared" si="28"/>
        <v>0x0000008C</v>
      </c>
      <c r="B1393" s="15">
        <f>SUM_HEX(C1392:F1392,B1392,3)</f>
        <v>140</v>
      </c>
      <c r="C1393" s="16" t="s">
        <v>307</v>
      </c>
      <c r="D1393" s="16" t="s">
        <v>23</v>
      </c>
      <c r="E1393" s="16"/>
      <c r="F1393" s="16"/>
      <c r="G1393" s="47"/>
      <c r="H1393" s="47"/>
      <c r="I1393" s="24"/>
      <c r="J1393" s="18"/>
      <c r="K1393" s="18"/>
      <c r="L1393" s="25"/>
    </row>
    <row r="1394" hidden="1" customHeight="1" spans="1:12">
      <c r="A1394" s="14" t="str">
        <f t="shared" si="28"/>
        <v>0x00000094</v>
      </c>
      <c r="B1394" s="15">
        <f>SUM_HEX(C1393:F1393,B1393,3)</f>
        <v>148</v>
      </c>
      <c r="C1394" s="16" t="s">
        <v>274</v>
      </c>
      <c r="D1394" s="16"/>
      <c r="E1394" s="16"/>
      <c r="F1394" s="16"/>
      <c r="G1394" s="48"/>
      <c r="H1394" s="48"/>
      <c r="I1394" s="24"/>
      <c r="J1394" s="18"/>
      <c r="K1394" s="18"/>
      <c r="L1394" s="25"/>
    </row>
    <row r="1395" hidden="1" customHeight="1" spans="1:12">
      <c r="A1395" s="14" t="str">
        <f t="shared" si="28"/>
        <v>0x00000098</v>
      </c>
      <c r="B1395" s="15">
        <f>SUM_HEX(C1394:F1394,B1394,3)</f>
        <v>152</v>
      </c>
      <c r="C1395" s="16" t="s">
        <v>23</v>
      </c>
      <c r="D1395" s="16"/>
      <c r="E1395" s="16"/>
      <c r="F1395" s="16"/>
      <c r="G1395" s="46" t="s">
        <v>157</v>
      </c>
      <c r="H1395" s="46" t="s">
        <v>212</v>
      </c>
      <c r="I1395" s="24" t="s">
        <v>308</v>
      </c>
      <c r="J1395" s="18"/>
      <c r="K1395" s="18" t="s">
        <v>305</v>
      </c>
      <c r="L1395" s="25"/>
    </row>
    <row r="1396" hidden="1" customHeight="1" spans="1:12">
      <c r="A1396" s="14" t="str">
        <f t="shared" si="28"/>
        <v>0x0000009C</v>
      </c>
      <c r="B1396" s="15">
        <f>SUM_HEX(C1395:F1395,B1395,3)</f>
        <v>156</v>
      </c>
      <c r="C1396" s="16" t="s">
        <v>309</v>
      </c>
      <c r="D1396" s="16"/>
      <c r="E1396" s="16"/>
      <c r="F1396" s="16"/>
      <c r="G1396" s="47"/>
      <c r="H1396" s="47"/>
      <c r="I1396" s="24"/>
      <c r="J1396" s="18"/>
      <c r="K1396" s="18"/>
      <c r="L1396" s="25"/>
    </row>
    <row r="1397" hidden="1" customHeight="1" spans="1:12">
      <c r="A1397" s="14" t="str">
        <f t="shared" si="28"/>
        <v>0x000000A0</v>
      </c>
      <c r="B1397" s="15">
        <f>SUM_HEX(C1396:F1396,B1396,3)</f>
        <v>160</v>
      </c>
      <c r="C1397" s="16" t="s">
        <v>307</v>
      </c>
      <c r="D1397" s="16" t="s">
        <v>23</v>
      </c>
      <c r="E1397" s="16"/>
      <c r="F1397" s="16"/>
      <c r="G1397" s="47"/>
      <c r="H1397" s="47"/>
      <c r="I1397" s="24"/>
      <c r="J1397" s="18"/>
      <c r="K1397" s="18"/>
      <c r="L1397" s="25"/>
    </row>
    <row r="1398" hidden="1" customHeight="1" spans="1:12">
      <c r="A1398" s="14" t="str">
        <f t="shared" si="28"/>
        <v>0x000000A8</v>
      </c>
      <c r="B1398" s="15">
        <f>SUM_HEX(C1397:F1397,B1397,3)</f>
        <v>168</v>
      </c>
      <c r="C1398" s="16" t="s">
        <v>274</v>
      </c>
      <c r="D1398" s="16"/>
      <c r="E1398" s="16"/>
      <c r="F1398" s="16"/>
      <c r="G1398" s="48"/>
      <c r="H1398" s="48"/>
      <c r="I1398" s="24"/>
      <c r="J1398" s="18"/>
      <c r="K1398" s="18"/>
      <c r="L1398" s="25"/>
    </row>
    <row r="1399" hidden="1" customHeight="1" spans="1:12">
      <c r="A1399" s="14" t="str">
        <f t="shared" si="28"/>
        <v>0x000000AC</v>
      </c>
      <c r="B1399" s="15">
        <f>SUM_HEX(C1398:F1398,B1398,3)</f>
        <v>172</v>
      </c>
      <c r="C1399" s="16" t="s">
        <v>23</v>
      </c>
      <c r="D1399" s="16"/>
      <c r="E1399" s="16"/>
      <c r="F1399" s="16"/>
      <c r="G1399" s="18" t="s">
        <v>212</v>
      </c>
      <c r="H1399" s="18"/>
      <c r="I1399" s="24" t="s">
        <v>310</v>
      </c>
      <c r="J1399" s="18"/>
      <c r="K1399" s="18" t="s">
        <v>311</v>
      </c>
      <c r="L1399" s="25"/>
    </row>
    <row r="1400" hidden="1" customHeight="1" spans="1:12">
      <c r="A1400" s="14" t="str">
        <f t="shared" si="28"/>
        <v>0x000000B0</v>
      </c>
      <c r="B1400" s="15">
        <f>SUM_HEX(C1399:F1399,B1399,3)</f>
        <v>176</v>
      </c>
      <c r="C1400" s="16" t="s">
        <v>23</v>
      </c>
      <c r="D1400" s="16" t="s">
        <v>23</v>
      </c>
      <c r="E1400" s="16"/>
      <c r="F1400" s="16"/>
      <c r="G1400" s="17"/>
      <c r="H1400" s="17"/>
      <c r="I1400" s="22"/>
      <c r="J1400" s="17"/>
      <c r="K1400" s="17"/>
      <c r="L1400" s="23"/>
    </row>
    <row r="1401" hidden="1" customHeight="1" spans="1:12">
      <c r="A1401" s="14" t="str">
        <f t="shared" si="28"/>
        <v>0x000000B8</v>
      </c>
      <c r="B1401" s="15">
        <f>SUM_HEX(C1400:F1400,B1400,3)</f>
        <v>184</v>
      </c>
      <c r="C1401" s="16" t="s">
        <v>312</v>
      </c>
      <c r="D1401" s="16"/>
      <c r="E1401" s="16"/>
      <c r="F1401" s="16"/>
      <c r="G1401" s="18" t="s">
        <v>212</v>
      </c>
      <c r="H1401" s="18"/>
      <c r="I1401" s="24" t="s">
        <v>313</v>
      </c>
      <c r="J1401" s="18"/>
      <c r="K1401" s="18" t="s">
        <v>314</v>
      </c>
      <c r="L1401" s="25" t="s">
        <v>315</v>
      </c>
    </row>
    <row r="1402" hidden="1" customHeight="1" spans="1:12">
      <c r="A1402" s="14" t="str">
        <f t="shared" si="28"/>
        <v>0x000000BC</v>
      </c>
      <c r="B1402" s="15">
        <f>SUM_HEX(C1401:F1401,B1401,3)</f>
        <v>188</v>
      </c>
      <c r="C1402" s="16" t="s">
        <v>316</v>
      </c>
      <c r="D1402" s="16"/>
      <c r="E1402" s="16"/>
      <c r="F1402" s="16"/>
      <c r="G1402" s="18" t="s">
        <v>212</v>
      </c>
      <c r="H1402" s="18"/>
      <c r="I1402" s="49" t="s">
        <v>317</v>
      </c>
      <c r="J1402" s="18"/>
      <c r="K1402" s="18" t="s">
        <v>318</v>
      </c>
      <c r="L1402" s="25"/>
    </row>
    <row r="1403" hidden="1" customHeight="1" spans="1:12">
      <c r="A1403" s="14" t="str">
        <f t="shared" si="28"/>
        <v>0x000000C0</v>
      </c>
      <c r="B1403" s="15">
        <f>SUM_HEX(C1402:F1402,B1402,3)</f>
        <v>192</v>
      </c>
      <c r="C1403" s="16" t="s">
        <v>316</v>
      </c>
      <c r="D1403" s="16"/>
      <c r="E1403" s="16"/>
      <c r="F1403" s="16"/>
      <c r="G1403" s="18" t="s">
        <v>212</v>
      </c>
      <c r="H1403" s="18"/>
      <c r="I1403" s="49" t="s">
        <v>319</v>
      </c>
      <c r="J1403" s="18"/>
      <c r="K1403" s="18" t="s">
        <v>318</v>
      </c>
      <c r="L1403" s="25"/>
    </row>
    <row r="1404" hidden="1" customHeight="1" spans="1:12">
      <c r="A1404" s="14" t="str">
        <f t="shared" si="28"/>
        <v>0x000000C4</v>
      </c>
      <c r="B1404" s="15">
        <f>SUM_HEX(C1403:F1403,B1403,3)</f>
        <v>196</v>
      </c>
      <c r="C1404" s="16" t="s">
        <v>316</v>
      </c>
      <c r="D1404" s="16"/>
      <c r="E1404" s="16"/>
      <c r="F1404" s="16"/>
      <c r="G1404" s="18" t="s">
        <v>212</v>
      </c>
      <c r="H1404" s="18"/>
      <c r="I1404" s="49" t="s">
        <v>320</v>
      </c>
      <c r="J1404" s="18"/>
      <c r="K1404" s="18" t="s">
        <v>318</v>
      </c>
      <c r="L1404" s="25"/>
    </row>
    <row r="1405" hidden="1" customHeight="1" spans="1:12">
      <c r="A1405" s="14" t="str">
        <f t="shared" si="28"/>
        <v>0x000000C8</v>
      </c>
      <c r="B1405" s="15">
        <f>SUM_HEX(C1404:F1404,B1404,3)</f>
        <v>200</v>
      </c>
      <c r="C1405" s="16" t="s">
        <v>316</v>
      </c>
      <c r="D1405" s="16"/>
      <c r="E1405" s="16"/>
      <c r="F1405" s="16"/>
      <c r="G1405" s="18" t="s">
        <v>212</v>
      </c>
      <c r="H1405" s="18"/>
      <c r="I1405" s="49" t="s">
        <v>321</v>
      </c>
      <c r="J1405" s="18"/>
      <c r="K1405" s="18" t="s">
        <v>318</v>
      </c>
      <c r="L1405" s="25"/>
    </row>
    <row r="1406" hidden="1" customHeight="1" spans="1:12">
      <c r="A1406" s="14" t="str">
        <f t="shared" si="28"/>
        <v>0x000000CC</v>
      </c>
      <c r="B1406" s="15">
        <f>SUM_HEX(C1405:F1405,B1405,3)</f>
        <v>204</v>
      </c>
      <c r="C1406" s="16" t="s">
        <v>23</v>
      </c>
      <c r="D1406" s="16"/>
      <c r="E1406" s="16"/>
      <c r="F1406" s="16"/>
      <c r="G1406" s="18" t="s">
        <v>212</v>
      </c>
      <c r="H1406" s="18"/>
      <c r="I1406" s="49" t="s">
        <v>322</v>
      </c>
      <c r="J1406" s="18"/>
      <c r="K1406" s="18" t="s">
        <v>318</v>
      </c>
      <c r="L1406" s="25"/>
    </row>
    <row r="1407" hidden="1" customHeight="1" spans="1:12">
      <c r="A1407" s="14" t="str">
        <f t="shared" si="28"/>
        <v>0x000000D0</v>
      </c>
      <c r="B1407" s="15">
        <f>SUM_HEX(C1406:F1406,B1406,3)</f>
        <v>208</v>
      </c>
      <c r="C1407" s="16" t="s">
        <v>23</v>
      </c>
      <c r="D1407" s="16"/>
      <c r="E1407" s="16"/>
      <c r="F1407" s="16"/>
      <c r="G1407" s="18" t="s">
        <v>212</v>
      </c>
      <c r="H1407" s="18"/>
      <c r="I1407" s="49" t="s">
        <v>323</v>
      </c>
      <c r="J1407" s="18"/>
      <c r="K1407" s="18" t="s">
        <v>318</v>
      </c>
      <c r="L1407" s="25"/>
    </row>
    <row r="1408" hidden="1" customHeight="1" spans="1:12">
      <c r="A1408" s="14" t="str">
        <f t="shared" si="28"/>
        <v>0x000000D4</v>
      </c>
      <c r="B1408" s="15">
        <f>SUM_HEX(C1407:F1407,B1407,3)</f>
        <v>212</v>
      </c>
      <c r="C1408" s="16" t="s">
        <v>23</v>
      </c>
      <c r="D1408" s="16"/>
      <c r="E1408" s="16"/>
      <c r="F1408" s="16"/>
      <c r="G1408" s="18" t="s">
        <v>212</v>
      </c>
      <c r="H1408" s="18"/>
      <c r="I1408" s="49" t="s">
        <v>324</v>
      </c>
      <c r="J1408" s="18"/>
      <c r="K1408" s="18" t="s">
        <v>318</v>
      </c>
      <c r="L1408" s="25"/>
    </row>
    <row r="1409" hidden="1" customHeight="1" spans="1:12">
      <c r="A1409" s="14" t="str">
        <f t="shared" si="28"/>
        <v>0x000000D8</v>
      </c>
      <c r="B1409" s="15">
        <f>SUM_HEX(C1408:F1408,B1408,3)</f>
        <v>216</v>
      </c>
      <c r="C1409" s="16" t="s">
        <v>23</v>
      </c>
      <c r="D1409" s="16"/>
      <c r="E1409" s="16"/>
      <c r="F1409" s="16"/>
      <c r="G1409" s="18" t="s">
        <v>212</v>
      </c>
      <c r="H1409" s="18"/>
      <c r="I1409" s="49" t="s">
        <v>325</v>
      </c>
      <c r="J1409" s="18"/>
      <c r="K1409" s="18" t="s">
        <v>318</v>
      </c>
      <c r="L1409" s="25"/>
    </row>
    <row r="1410" hidden="1" customHeight="1" spans="1:12">
      <c r="A1410" s="14" t="str">
        <f t="shared" si="28"/>
        <v>0x000000DC</v>
      </c>
      <c r="B1410" s="15">
        <f>SUM_HEX(C1409:F1409,B1409,3)</f>
        <v>220</v>
      </c>
      <c r="C1410" s="16" t="s">
        <v>23</v>
      </c>
      <c r="D1410" s="16"/>
      <c r="E1410" s="16"/>
      <c r="F1410" s="16"/>
      <c r="G1410" s="46" t="s">
        <v>157</v>
      </c>
      <c r="H1410" s="46" t="s">
        <v>326</v>
      </c>
      <c r="I1410" s="24" t="s">
        <v>327</v>
      </c>
      <c r="J1410" s="18"/>
      <c r="K1410" s="18" t="s">
        <v>328</v>
      </c>
      <c r="L1410" s="25" t="s">
        <v>272</v>
      </c>
    </row>
    <row r="1411" hidden="1" customHeight="1" spans="1:12">
      <c r="A1411" s="14" t="str">
        <f t="shared" si="28"/>
        <v>0x000000E0</v>
      </c>
      <c r="B1411" s="15">
        <f>SUM_HEX(C1410:F1410,B1410,3)</f>
        <v>224</v>
      </c>
      <c r="C1411" s="16" t="s">
        <v>329</v>
      </c>
      <c r="D1411" s="16"/>
      <c r="E1411" s="16"/>
      <c r="F1411" s="16"/>
      <c r="G1411" s="47"/>
      <c r="H1411" s="47"/>
      <c r="I1411" s="24"/>
      <c r="J1411" s="18"/>
      <c r="K1411" s="18"/>
      <c r="L1411" s="25"/>
    </row>
    <row r="1412" hidden="1" customHeight="1" spans="1:12">
      <c r="A1412" s="14" t="str">
        <f t="shared" si="28"/>
        <v>0x000000E4</v>
      </c>
      <c r="B1412" s="15">
        <f>SUM_HEX(C1411:F1411,B1411,3)</f>
        <v>228</v>
      </c>
      <c r="C1412" s="16" t="s">
        <v>330</v>
      </c>
      <c r="D1412" s="16" t="s">
        <v>330</v>
      </c>
      <c r="E1412" s="16" t="s">
        <v>330</v>
      </c>
      <c r="F1412" s="16"/>
      <c r="G1412" s="47"/>
      <c r="H1412" s="47"/>
      <c r="I1412" s="24"/>
      <c r="J1412" s="18"/>
      <c r="K1412" s="18"/>
      <c r="L1412" s="25"/>
    </row>
    <row r="1413" hidden="1" customHeight="1" spans="1:12">
      <c r="A1413" s="14" t="str">
        <f t="shared" si="28"/>
        <v>0x000000F0</v>
      </c>
      <c r="B1413" s="15">
        <f>SUM_HEX(C1412:F1412,B1412,3)</f>
        <v>240</v>
      </c>
      <c r="C1413" s="16" t="s">
        <v>23</v>
      </c>
      <c r="D1413" s="16" t="s">
        <v>23</v>
      </c>
      <c r="E1413" s="16" t="s">
        <v>23</v>
      </c>
      <c r="F1413" s="16"/>
      <c r="G1413" s="47"/>
      <c r="H1413" s="47"/>
      <c r="I1413" s="24"/>
      <c r="J1413" s="18"/>
      <c r="K1413" s="18"/>
      <c r="L1413" s="25"/>
    </row>
    <row r="1414" hidden="1" customHeight="1" spans="1:12">
      <c r="A1414" s="14" t="str">
        <f t="shared" si="28"/>
        <v>0x000000FC</v>
      </c>
      <c r="B1414" s="15">
        <f>SUM_HEX(C1413:F1413,B1413,3)</f>
        <v>252</v>
      </c>
      <c r="C1414" s="16" t="s">
        <v>274</v>
      </c>
      <c r="D1414" s="16"/>
      <c r="E1414" s="16"/>
      <c r="F1414" s="16"/>
      <c r="G1414" s="48"/>
      <c r="H1414" s="48"/>
      <c r="I1414" s="24"/>
      <c r="J1414" s="18"/>
      <c r="K1414" s="18"/>
      <c r="L1414" s="25"/>
    </row>
    <row r="1415" hidden="1" customHeight="1" spans="1:12">
      <c r="A1415" s="14" t="str">
        <f t="shared" si="28"/>
        <v>0x00000100</v>
      </c>
      <c r="B1415" s="15">
        <f>SUM_HEX(C1414:F1414,B1414,3)</f>
        <v>256</v>
      </c>
      <c r="C1415" s="16" t="s">
        <v>23</v>
      </c>
      <c r="D1415" s="16"/>
      <c r="E1415" s="16"/>
      <c r="F1415" s="16"/>
      <c r="G1415" s="46" t="s">
        <v>157</v>
      </c>
      <c r="H1415" s="46" t="s">
        <v>326</v>
      </c>
      <c r="I1415" s="24" t="s">
        <v>331</v>
      </c>
      <c r="J1415" s="18"/>
      <c r="K1415" s="18" t="s">
        <v>332</v>
      </c>
      <c r="L1415" s="25" t="s">
        <v>333</v>
      </c>
    </row>
    <row r="1416" hidden="1" customHeight="1" spans="1:12">
      <c r="A1416" s="14" t="str">
        <f t="shared" si="28"/>
        <v>0x00000104</v>
      </c>
      <c r="B1416" s="15">
        <f>SUM_HEX(C1415:F1415,B1415,3)</f>
        <v>260</v>
      </c>
      <c r="C1416" s="16" t="s">
        <v>334</v>
      </c>
      <c r="D1416" s="16"/>
      <c r="E1416" s="16"/>
      <c r="F1416" s="16"/>
      <c r="G1416" s="47"/>
      <c r="H1416" s="47"/>
      <c r="I1416" s="24"/>
      <c r="J1416" s="18"/>
      <c r="K1416" s="18"/>
      <c r="L1416" s="25"/>
    </row>
    <row r="1417" hidden="1" customHeight="1" spans="1:12">
      <c r="A1417" s="14" t="str">
        <f t="shared" si="28"/>
        <v>0x00000108</v>
      </c>
      <c r="B1417" s="15">
        <f>SUM_HEX(C1416:F1416,B1416,3)</f>
        <v>264</v>
      </c>
      <c r="C1417" s="16" t="s">
        <v>23</v>
      </c>
      <c r="D1417" s="16" t="s">
        <v>23</v>
      </c>
      <c r="E1417" s="16" t="s">
        <v>23</v>
      </c>
      <c r="F1417" s="16"/>
      <c r="G1417" s="47"/>
      <c r="H1417" s="47"/>
      <c r="I1417" s="24"/>
      <c r="J1417" s="18"/>
      <c r="K1417" s="18"/>
      <c r="L1417" s="25"/>
    </row>
    <row r="1418" hidden="1" customHeight="1" spans="1:12">
      <c r="A1418" s="14" t="str">
        <f t="shared" si="28"/>
        <v>0x00000114</v>
      </c>
      <c r="B1418" s="15">
        <f>SUM_HEX(C1417:F1417,B1417,3)</f>
        <v>276</v>
      </c>
      <c r="C1418" s="16" t="s">
        <v>23</v>
      </c>
      <c r="D1418" s="16" t="s">
        <v>23</v>
      </c>
      <c r="E1418" s="16" t="s">
        <v>23</v>
      </c>
      <c r="F1418" s="16"/>
      <c r="G1418" s="47"/>
      <c r="H1418" s="47"/>
      <c r="I1418" s="24"/>
      <c r="J1418" s="18"/>
      <c r="K1418" s="18"/>
      <c r="L1418" s="25"/>
    </row>
    <row r="1419" hidden="1" customHeight="1" spans="1:12">
      <c r="A1419" s="14" t="str">
        <f t="shared" si="28"/>
        <v>0x00000120</v>
      </c>
      <c r="B1419" s="15">
        <f>SUM_HEX(C1418:F1418,B1418,3)</f>
        <v>288</v>
      </c>
      <c r="C1419" s="16" t="s">
        <v>274</v>
      </c>
      <c r="D1419" s="16"/>
      <c r="E1419" s="16"/>
      <c r="F1419" s="16"/>
      <c r="G1419" s="48"/>
      <c r="H1419" s="48"/>
      <c r="I1419" s="24"/>
      <c r="J1419" s="18"/>
      <c r="K1419" s="18"/>
      <c r="L1419" s="25"/>
    </row>
    <row r="1420" hidden="1" customHeight="1" spans="1:12">
      <c r="A1420" s="14" t="str">
        <f t="shared" si="28"/>
        <v>0x00000124</v>
      </c>
      <c r="B1420" s="15">
        <f>SUM_HEX(C1419:F1419,B1419,3)</f>
        <v>292</v>
      </c>
      <c r="C1420" s="16" t="s">
        <v>23</v>
      </c>
      <c r="D1420" s="16"/>
      <c r="E1420" s="16"/>
      <c r="F1420" s="16"/>
      <c r="G1420" s="46" t="s">
        <v>157</v>
      </c>
      <c r="H1420" s="46" t="s">
        <v>335</v>
      </c>
      <c r="I1420" s="24" t="s">
        <v>336</v>
      </c>
      <c r="J1420" s="18"/>
      <c r="K1420" s="18" t="s">
        <v>337</v>
      </c>
      <c r="L1420" s="25"/>
    </row>
    <row r="1421" hidden="1" customHeight="1" spans="1:12">
      <c r="A1421" s="14" t="str">
        <f t="shared" si="28"/>
        <v>0x00000128</v>
      </c>
      <c r="B1421" s="15">
        <f>SUM_HEX(C1420:F1420,B1420,3)</f>
        <v>296</v>
      </c>
      <c r="C1421" s="16" t="s">
        <v>338</v>
      </c>
      <c r="D1421" s="16"/>
      <c r="E1421" s="16"/>
      <c r="F1421" s="16"/>
      <c r="G1421" s="47"/>
      <c r="H1421" s="47"/>
      <c r="I1421" s="24"/>
      <c r="J1421" s="18"/>
      <c r="K1421" s="18"/>
      <c r="L1421" s="25"/>
    </row>
    <row r="1422" hidden="1" customHeight="1" spans="1:12">
      <c r="A1422" s="14" t="str">
        <f t="shared" si="28"/>
        <v>0x0000012C</v>
      </c>
      <c r="B1422" s="15">
        <f>SUM_HEX(C1421:F1421,B1421,3)</f>
        <v>300</v>
      </c>
      <c r="C1422" s="16" t="s">
        <v>274</v>
      </c>
      <c r="D1422" s="16" t="s">
        <v>23</v>
      </c>
      <c r="E1422" s="16"/>
      <c r="F1422" s="16"/>
      <c r="G1422" s="47"/>
      <c r="H1422" s="47"/>
      <c r="I1422" s="24"/>
      <c r="J1422" s="18"/>
      <c r="K1422" s="18"/>
      <c r="L1422" s="25"/>
    </row>
    <row r="1423" hidden="1" customHeight="1" spans="1:12">
      <c r="A1423" s="14" t="str">
        <f t="shared" si="28"/>
        <v>0x00000134</v>
      </c>
      <c r="B1423" s="15">
        <f>SUM_HEX(C1422:F1422,B1422,3)</f>
        <v>308</v>
      </c>
      <c r="C1423" s="16" t="s">
        <v>274</v>
      </c>
      <c r="D1423" s="16"/>
      <c r="E1423" s="16"/>
      <c r="F1423" s="16"/>
      <c r="G1423" s="48"/>
      <c r="H1423" s="48"/>
      <c r="I1423" s="24"/>
      <c r="J1423" s="18"/>
      <c r="K1423" s="18"/>
      <c r="L1423" s="25"/>
    </row>
    <row r="1424" hidden="1" customHeight="1" spans="1:12">
      <c r="A1424" s="14" t="str">
        <f t="shared" si="28"/>
        <v>0x00000138</v>
      </c>
      <c r="B1424" s="15">
        <f>SUM_HEX(C1423:F1423,B1423,3)</f>
        <v>312</v>
      </c>
      <c r="C1424" s="16" t="s">
        <v>23</v>
      </c>
      <c r="D1424" s="16"/>
      <c r="E1424" s="16"/>
      <c r="F1424" s="16"/>
      <c r="G1424" s="46" t="s">
        <v>157</v>
      </c>
      <c r="H1424" s="46" t="s">
        <v>335</v>
      </c>
      <c r="I1424" s="24" t="s">
        <v>339</v>
      </c>
      <c r="J1424" s="18"/>
      <c r="K1424" s="18" t="s">
        <v>337</v>
      </c>
      <c r="L1424" s="25"/>
    </row>
    <row r="1425" hidden="1" customHeight="1" spans="1:12">
      <c r="A1425" s="14" t="str">
        <f t="shared" si="28"/>
        <v>0x0000013C</v>
      </c>
      <c r="B1425" s="15">
        <f>SUM_HEX(C1424:F1424,B1424,3)</f>
        <v>316</v>
      </c>
      <c r="C1425" s="16" t="s">
        <v>340</v>
      </c>
      <c r="D1425" s="16"/>
      <c r="E1425" s="16"/>
      <c r="F1425" s="16"/>
      <c r="G1425" s="47"/>
      <c r="H1425" s="47"/>
      <c r="I1425" s="24"/>
      <c r="J1425" s="18"/>
      <c r="K1425" s="18"/>
      <c r="L1425" s="25"/>
    </row>
    <row r="1426" hidden="1" customHeight="1" spans="1:12">
      <c r="A1426" s="14" t="str">
        <f t="shared" si="28"/>
        <v>0x00000140</v>
      </c>
      <c r="B1426" s="15">
        <f>SUM_HEX(C1425:F1425,B1425,3)</f>
        <v>320</v>
      </c>
      <c r="C1426" s="16" t="s">
        <v>274</v>
      </c>
      <c r="D1426" s="16" t="s">
        <v>23</v>
      </c>
      <c r="E1426" s="16"/>
      <c r="F1426" s="16"/>
      <c r="G1426" s="47"/>
      <c r="H1426" s="47"/>
      <c r="I1426" s="24"/>
      <c r="J1426" s="18"/>
      <c r="K1426" s="18"/>
      <c r="L1426" s="25"/>
    </row>
    <row r="1427" hidden="1" customHeight="1" spans="1:12">
      <c r="A1427" s="14" t="str">
        <f t="shared" si="28"/>
        <v>0x00000148</v>
      </c>
      <c r="B1427" s="15">
        <f>SUM_HEX(C1426:F1426,B1426,3)</f>
        <v>328</v>
      </c>
      <c r="C1427" s="16" t="s">
        <v>274</v>
      </c>
      <c r="D1427" s="16"/>
      <c r="E1427" s="16"/>
      <c r="F1427" s="16"/>
      <c r="G1427" s="48"/>
      <c r="H1427" s="48"/>
      <c r="I1427" s="24"/>
      <c r="J1427" s="18"/>
      <c r="K1427" s="18"/>
      <c r="L1427" s="25"/>
    </row>
    <row r="1428" hidden="1" customHeight="1" spans="1:12">
      <c r="A1428" s="14" t="str">
        <f t="shared" si="28"/>
        <v>0x0000014C</v>
      </c>
      <c r="B1428" s="15">
        <f>SUM_HEX(C1427:F1427,B1427,3)</f>
        <v>332</v>
      </c>
      <c r="C1428" s="16" t="s">
        <v>23</v>
      </c>
      <c r="D1428" s="16"/>
      <c r="E1428" s="16"/>
      <c r="F1428" s="16"/>
      <c r="G1428" s="46" t="s">
        <v>157</v>
      </c>
      <c r="H1428" s="46" t="s">
        <v>335</v>
      </c>
      <c r="I1428" s="24" t="s">
        <v>341</v>
      </c>
      <c r="J1428" s="18"/>
      <c r="K1428" s="18" t="s">
        <v>337</v>
      </c>
      <c r="L1428" s="25"/>
    </row>
    <row r="1429" hidden="1" customHeight="1" spans="1:12">
      <c r="A1429" s="14" t="str">
        <f t="shared" si="28"/>
        <v>0x00000150</v>
      </c>
      <c r="B1429" s="15">
        <f>SUM_HEX(C1428:F1428,B1428,3)</f>
        <v>336</v>
      </c>
      <c r="C1429" s="16" t="s">
        <v>342</v>
      </c>
      <c r="D1429" s="16"/>
      <c r="E1429" s="16"/>
      <c r="F1429" s="16"/>
      <c r="G1429" s="47"/>
      <c r="H1429" s="47"/>
      <c r="I1429" s="24"/>
      <c r="J1429" s="18"/>
      <c r="K1429" s="18"/>
      <c r="L1429" s="25"/>
    </row>
    <row r="1430" hidden="1" customHeight="1" spans="1:12">
      <c r="A1430" s="14" t="str">
        <f t="shared" si="28"/>
        <v>0x00000154</v>
      </c>
      <c r="B1430" s="15">
        <f>SUM_HEX(C1429:F1429,B1429,3)</f>
        <v>340</v>
      </c>
      <c r="C1430" s="16" t="s">
        <v>274</v>
      </c>
      <c r="D1430" s="16" t="s">
        <v>23</v>
      </c>
      <c r="E1430" s="16"/>
      <c r="F1430" s="16"/>
      <c r="G1430" s="47"/>
      <c r="H1430" s="47"/>
      <c r="I1430" s="24"/>
      <c r="J1430" s="18"/>
      <c r="K1430" s="18"/>
      <c r="L1430" s="25"/>
    </row>
    <row r="1431" hidden="1" customHeight="1" spans="1:12">
      <c r="A1431" s="14" t="str">
        <f t="shared" ref="A1431:A1494" si="29">"0x"&amp;DEC2HEX(B1431,8)</f>
        <v>0x0000015C</v>
      </c>
      <c r="B1431" s="15">
        <f>SUM_HEX(C1430:F1430,B1430,3)</f>
        <v>348</v>
      </c>
      <c r="C1431" s="16" t="s">
        <v>274</v>
      </c>
      <c r="D1431" s="16"/>
      <c r="E1431" s="16"/>
      <c r="F1431" s="16"/>
      <c r="G1431" s="48"/>
      <c r="H1431" s="48"/>
      <c r="I1431" s="24"/>
      <c r="J1431" s="18"/>
      <c r="K1431" s="18"/>
      <c r="L1431" s="25"/>
    </row>
    <row r="1432" hidden="1" customHeight="1" spans="1:12">
      <c r="A1432" s="14" t="str">
        <f t="shared" si="29"/>
        <v>0x00000160</v>
      </c>
      <c r="B1432" s="15">
        <f>SUM_HEX(C1431:F1431,B1431,3)</f>
        <v>352</v>
      </c>
      <c r="C1432" s="16" t="s">
        <v>23</v>
      </c>
      <c r="D1432" s="16"/>
      <c r="E1432" s="16"/>
      <c r="F1432" s="16"/>
      <c r="G1432" s="18" t="s">
        <v>212</v>
      </c>
      <c r="H1432" s="18"/>
      <c r="I1432" s="24" t="s">
        <v>343</v>
      </c>
      <c r="J1432" s="50"/>
      <c r="K1432" s="18" t="s">
        <v>344</v>
      </c>
      <c r="L1432" s="25"/>
    </row>
    <row r="1433" hidden="1" customHeight="1" spans="1:12">
      <c r="A1433" s="14" t="str">
        <f t="shared" si="29"/>
        <v>0x00000164</v>
      </c>
      <c r="B1433" s="15">
        <f>SUM_HEX(C1432:F1432,B1432,3)</f>
        <v>356</v>
      </c>
      <c r="C1433" s="16" t="s">
        <v>148</v>
      </c>
      <c r="D1433" s="16"/>
      <c r="E1433" s="16"/>
      <c r="F1433" s="16"/>
      <c r="G1433" s="18" t="s">
        <v>212</v>
      </c>
      <c r="H1433" s="18"/>
      <c r="I1433" s="24" t="s">
        <v>345</v>
      </c>
      <c r="J1433" s="50"/>
      <c r="K1433" s="18" t="s">
        <v>346</v>
      </c>
      <c r="L1433" s="25"/>
    </row>
    <row r="1434" hidden="1" customHeight="1" spans="1:12">
      <c r="A1434" s="14" t="str">
        <f t="shared" si="29"/>
        <v>0x00000168</v>
      </c>
      <c r="B1434" s="15">
        <f>SUM_HEX(C1433:F1433,B1433,3)</f>
        <v>360</v>
      </c>
      <c r="C1434" s="16" t="s">
        <v>148</v>
      </c>
      <c r="D1434" s="16"/>
      <c r="E1434" s="16"/>
      <c r="F1434" s="16"/>
      <c r="G1434" s="18" t="s">
        <v>212</v>
      </c>
      <c r="H1434" s="18"/>
      <c r="I1434" s="24" t="s">
        <v>347</v>
      </c>
      <c r="J1434" s="50"/>
      <c r="K1434" s="18" t="s">
        <v>346</v>
      </c>
      <c r="L1434" s="25"/>
    </row>
    <row r="1435" hidden="1" customHeight="1" spans="1:12">
      <c r="A1435" s="14" t="str">
        <f t="shared" si="29"/>
        <v>0x0000016C</v>
      </c>
      <c r="B1435" s="15">
        <f>SUM_HEX(C1434:F1434,B1434,3)</f>
        <v>364</v>
      </c>
      <c r="C1435" s="16" t="s">
        <v>23</v>
      </c>
      <c r="D1435" s="16"/>
      <c r="E1435" s="16"/>
      <c r="F1435" s="16"/>
      <c r="G1435" s="18" t="s">
        <v>212</v>
      </c>
      <c r="H1435" s="18"/>
      <c r="I1435" s="24" t="s">
        <v>348</v>
      </c>
      <c r="J1435" s="50"/>
      <c r="K1435" s="18"/>
      <c r="L1435" s="25"/>
    </row>
    <row r="1436" hidden="1" customHeight="1" spans="1:12">
      <c r="A1436" s="14" t="str">
        <f t="shared" si="29"/>
        <v>0x00000170</v>
      </c>
      <c r="B1436" s="15">
        <f>SUM_HEX(C1435:F1435,B1435,3)</f>
        <v>368</v>
      </c>
      <c r="C1436" s="16" t="s">
        <v>23</v>
      </c>
      <c r="D1436" s="16"/>
      <c r="E1436" s="16"/>
      <c r="F1436" s="16"/>
      <c r="G1436" s="18" t="s">
        <v>33</v>
      </c>
      <c r="H1436" s="18"/>
      <c r="I1436" s="24" t="s">
        <v>349</v>
      </c>
      <c r="J1436" s="18"/>
      <c r="K1436" s="18"/>
      <c r="L1436" s="25"/>
    </row>
    <row r="1437" hidden="1" customHeight="1" spans="1:12">
      <c r="A1437" s="14" t="str">
        <f t="shared" si="29"/>
        <v>0x00000174</v>
      </c>
      <c r="B1437" s="15">
        <f>SUM_HEX(C1436:F1436,B1436,3)</f>
        <v>372</v>
      </c>
      <c r="C1437" s="16" t="s">
        <v>23</v>
      </c>
      <c r="D1437" s="16"/>
      <c r="E1437" s="16"/>
      <c r="F1437" s="16"/>
      <c r="G1437" s="17"/>
      <c r="H1437" s="17"/>
      <c r="I1437" s="22"/>
      <c r="J1437" s="17"/>
      <c r="K1437" s="17"/>
      <c r="L1437" s="23"/>
    </row>
    <row r="1438" hidden="1" customHeight="1" spans="1:12">
      <c r="A1438" s="14" t="str">
        <f t="shared" si="29"/>
        <v>0x00000178</v>
      </c>
      <c r="B1438" s="15">
        <f>SUM_HEX(C1437:F1437,B1437,3)</f>
        <v>376</v>
      </c>
      <c r="C1438" s="16" t="s">
        <v>23</v>
      </c>
      <c r="D1438" s="16"/>
      <c r="E1438" s="16"/>
      <c r="F1438" s="16"/>
      <c r="G1438" s="18" t="s">
        <v>212</v>
      </c>
      <c r="H1438" s="18"/>
      <c r="I1438" s="24" t="s">
        <v>350</v>
      </c>
      <c r="J1438" s="18"/>
      <c r="K1438" s="18"/>
      <c r="L1438" s="25" t="s">
        <v>272</v>
      </c>
    </row>
    <row r="1439" hidden="1" customHeight="1" spans="1:12">
      <c r="A1439" s="14" t="str">
        <f t="shared" si="29"/>
        <v>0x0000017C</v>
      </c>
      <c r="B1439" s="15">
        <f>SUM_HEX(C1438:F1438,B1438,3)</f>
        <v>380</v>
      </c>
      <c r="C1439" s="16" t="s">
        <v>23</v>
      </c>
      <c r="D1439" s="16"/>
      <c r="E1439" s="16"/>
      <c r="F1439" s="16"/>
      <c r="G1439" s="18" t="s">
        <v>212</v>
      </c>
      <c r="H1439" s="18"/>
      <c r="I1439" s="24" t="s">
        <v>351</v>
      </c>
      <c r="J1439" s="18"/>
      <c r="K1439" s="18"/>
      <c r="L1439" s="25"/>
    </row>
    <row r="1440" hidden="1" customHeight="1" spans="1:12">
      <c r="A1440" s="14" t="str">
        <f t="shared" si="29"/>
        <v>0x00000180</v>
      </c>
      <c r="B1440" s="15">
        <f>SUM_HEX(C1439:F1439,B1439,3)</f>
        <v>384</v>
      </c>
      <c r="C1440" s="16" t="s">
        <v>23</v>
      </c>
      <c r="D1440" s="16"/>
      <c r="E1440" s="16"/>
      <c r="F1440" s="16"/>
      <c r="G1440" s="18" t="s">
        <v>212</v>
      </c>
      <c r="H1440" s="18"/>
      <c r="I1440" s="24" t="s">
        <v>352</v>
      </c>
      <c r="J1440" s="18"/>
      <c r="K1440" s="18"/>
      <c r="L1440" s="25"/>
    </row>
    <row r="1441" hidden="1" customHeight="1" spans="1:12">
      <c r="A1441" s="14" t="str">
        <f t="shared" si="29"/>
        <v>0x00000184</v>
      </c>
      <c r="B1441" s="15">
        <f>SUM_HEX(C1440:F1440,B1440,3)</f>
        <v>388</v>
      </c>
      <c r="C1441" s="16" t="s">
        <v>353</v>
      </c>
      <c r="D1441" s="16"/>
      <c r="E1441" s="16"/>
      <c r="F1441" s="16"/>
      <c r="G1441" s="18" t="s">
        <v>212</v>
      </c>
      <c r="H1441" s="18"/>
      <c r="I1441" s="24" t="s">
        <v>354</v>
      </c>
      <c r="J1441" s="18"/>
      <c r="K1441" s="18"/>
      <c r="L1441" s="25"/>
    </row>
    <row r="1442" hidden="1" customHeight="1" spans="1:12">
      <c r="A1442" s="14" t="str">
        <f t="shared" si="29"/>
        <v>0x00000188</v>
      </c>
      <c r="B1442" s="15">
        <f>SUM_HEX(C1441:F1441,B1441,3)</f>
        <v>392</v>
      </c>
      <c r="C1442" s="16" t="s">
        <v>29</v>
      </c>
      <c r="D1442" s="16"/>
      <c r="E1442" s="16"/>
      <c r="F1442" s="16"/>
      <c r="G1442" s="18" t="s">
        <v>15</v>
      </c>
      <c r="H1442" s="18"/>
      <c r="I1442" s="24"/>
      <c r="J1442" s="18"/>
      <c r="K1442" s="18"/>
      <c r="L1442" s="25"/>
    </row>
    <row r="1443" hidden="1" customHeight="1" spans="1:12">
      <c r="A1443" s="14" t="str">
        <f t="shared" si="29"/>
        <v>0x0000018C</v>
      </c>
      <c r="B1443" s="15">
        <f>SUM_HEX(C1442:F1442,B1442,3)</f>
        <v>396</v>
      </c>
      <c r="C1443" s="16" t="s">
        <v>355</v>
      </c>
      <c r="D1443" s="16"/>
      <c r="E1443" s="16"/>
      <c r="F1443" s="16"/>
      <c r="G1443" s="18" t="s">
        <v>15</v>
      </c>
      <c r="H1443" s="18"/>
      <c r="I1443" s="24" t="s">
        <v>356</v>
      </c>
      <c r="J1443" s="18"/>
      <c r="K1443" s="18"/>
      <c r="L1443" s="25"/>
    </row>
    <row r="1444" hidden="1" customHeight="1" spans="1:12">
      <c r="A1444" s="14" t="str">
        <f t="shared" si="29"/>
        <v>0x00000190</v>
      </c>
      <c r="B1444" s="15">
        <f>SUM_HEX(C1443:F1443,B1443,3)</f>
        <v>400</v>
      </c>
      <c r="C1444" s="16" t="s">
        <v>23</v>
      </c>
      <c r="D1444" s="16"/>
      <c r="E1444" s="16"/>
      <c r="F1444" s="16"/>
      <c r="G1444" s="46" t="s">
        <v>157</v>
      </c>
      <c r="H1444" s="46" t="s">
        <v>212</v>
      </c>
      <c r="I1444" s="18" t="s">
        <v>357</v>
      </c>
      <c r="J1444" s="18"/>
      <c r="K1444" s="18"/>
      <c r="L1444" s="25"/>
    </row>
    <row r="1445" hidden="1" customHeight="1" spans="1:12">
      <c r="A1445" s="14" t="str">
        <f t="shared" si="29"/>
        <v>0x00000194</v>
      </c>
      <c r="B1445" s="15">
        <f>SUM_HEX(C1444:F1444,B1444,3)</f>
        <v>404</v>
      </c>
      <c r="C1445" s="16" t="s">
        <v>358</v>
      </c>
      <c r="D1445" s="16"/>
      <c r="E1445" s="16"/>
      <c r="F1445" s="16"/>
      <c r="G1445" s="47"/>
      <c r="H1445" s="47"/>
      <c r="I1445" s="18"/>
      <c r="J1445" s="18"/>
      <c r="K1445" s="18"/>
      <c r="L1445" s="25"/>
    </row>
    <row r="1446" hidden="1" customHeight="1" spans="1:12">
      <c r="A1446" s="14" t="str">
        <f t="shared" si="29"/>
        <v>0x00000198</v>
      </c>
      <c r="B1446" s="15">
        <f>SUM_HEX(C1445:F1445,B1445,3)</f>
        <v>408</v>
      </c>
      <c r="C1446" s="16" t="s">
        <v>359</v>
      </c>
      <c r="D1446" s="16" t="s">
        <v>23</v>
      </c>
      <c r="E1446" s="16"/>
      <c r="F1446" s="16"/>
      <c r="G1446" s="47"/>
      <c r="H1446" s="47"/>
      <c r="I1446" s="18"/>
      <c r="J1446" s="18"/>
      <c r="K1446" s="18"/>
      <c r="L1446" s="25"/>
    </row>
    <row r="1447" hidden="1" customHeight="1" spans="1:12">
      <c r="A1447" s="14" t="str">
        <f t="shared" si="29"/>
        <v>0x000001A0</v>
      </c>
      <c r="B1447" s="15">
        <f>SUM_HEX(C1446:F1446,B1446,3)</f>
        <v>416</v>
      </c>
      <c r="C1447" s="16" t="s">
        <v>274</v>
      </c>
      <c r="D1447" s="16"/>
      <c r="E1447" s="16"/>
      <c r="F1447" s="16"/>
      <c r="G1447" s="48"/>
      <c r="H1447" s="48"/>
      <c r="I1447" s="18"/>
      <c r="J1447" s="18"/>
      <c r="K1447" s="18"/>
      <c r="L1447" s="25"/>
    </row>
    <row r="1448" hidden="1" customHeight="1" spans="1:12">
      <c r="A1448" s="14" t="str">
        <f t="shared" si="29"/>
        <v>0x000001A4</v>
      </c>
      <c r="B1448" s="15">
        <f>SUM_HEX(C1447:F1447,B1447,3)</f>
        <v>420</v>
      </c>
      <c r="C1448" s="16" t="s">
        <v>23</v>
      </c>
      <c r="D1448" s="16"/>
      <c r="E1448" s="16"/>
      <c r="F1448" s="16"/>
      <c r="G1448" s="18" t="s">
        <v>15</v>
      </c>
      <c r="H1448" s="18"/>
      <c r="I1448" s="24" t="s">
        <v>360</v>
      </c>
      <c r="J1448" s="18"/>
      <c r="K1448" s="18"/>
      <c r="L1448" s="25"/>
    </row>
    <row r="1449" hidden="1" customHeight="1" spans="1:12">
      <c r="A1449" s="14" t="str">
        <f t="shared" si="29"/>
        <v>0x000001A8</v>
      </c>
      <c r="B1449" s="15">
        <f>SUM_HEX(C1448:F1448,B1448,3)</f>
        <v>424</v>
      </c>
      <c r="C1449" s="16" t="s">
        <v>23</v>
      </c>
      <c r="D1449" s="16"/>
      <c r="E1449" s="16"/>
      <c r="F1449" s="16"/>
      <c r="G1449" s="46" t="s">
        <v>157</v>
      </c>
      <c r="H1449" s="46" t="s">
        <v>326</v>
      </c>
      <c r="I1449" s="24" t="s">
        <v>361</v>
      </c>
      <c r="J1449" s="18"/>
      <c r="K1449" s="18"/>
      <c r="L1449" s="25" t="s">
        <v>272</v>
      </c>
    </row>
    <row r="1450" hidden="1" customHeight="1" spans="1:12">
      <c r="A1450" s="14" t="str">
        <f t="shared" si="29"/>
        <v>0x000001AC</v>
      </c>
      <c r="B1450" s="15">
        <f>SUM_HEX(C1449:F1449,B1449,3)</f>
        <v>428</v>
      </c>
      <c r="C1450" s="16" t="s">
        <v>362</v>
      </c>
      <c r="D1450" s="16"/>
      <c r="E1450" s="16"/>
      <c r="F1450" s="16"/>
      <c r="G1450" s="47"/>
      <c r="H1450" s="47"/>
      <c r="I1450" s="18"/>
      <c r="J1450" s="18"/>
      <c r="K1450" s="18"/>
      <c r="L1450" s="25"/>
    </row>
    <row r="1451" hidden="1" customHeight="1" spans="1:12">
      <c r="A1451" s="14" t="str">
        <f t="shared" si="29"/>
        <v>0x000001B0</v>
      </c>
      <c r="B1451" s="15">
        <f>SUM_HEX(C1450:F1450,B1450,3)</f>
        <v>432</v>
      </c>
      <c r="C1451" s="16" t="s">
        <v>330</v>
      </c>
      <c r="D1451" s="16" t="s">
        <v>330</v>
      </c>
      <c r="E1451" s="16" t="s">
        <v>330</v>
      </c>
      <c r="F1451" s="16"/>
      <c r="G1451" s="47"/>
      <c r="H1451" s="47"/>
      <c r="I1451" s="18"/>
      <c r="J1451" s="18"/>
      <c r="K1451" s="18"/>
      <c r="L1451" s="25"/>
    </row>
    <row r="1452" hidden="1" customHeight="1" spans="1:12">
      <c r="A1452" s="14" t="str">
        <f t="shared" si="29"/>
        <v>0x000001BC</v>
      </c>
      <c r="B1452" s="15">
        <f>SUM_HEX(C1451:F1451,B1451,3)</f>
        <v>444</v>
      </c>
      <c r="C1452" s="16" t="s">
        <v>23</v>
      </c>
      <c r="D1452" s="16" t="s">
        <v>23</v>
      </c>
      <c r="E1452" s="16" t="s">
        <v>23</v>
      </c>
      <c r="F1452" s="16"/>
      <c r="G1452" s="47"/>
      <c r="H1452" s="47"/>
      <c r="I1452" s="18"/>
      <c r="J1452" s="18"/>
      <c r="K1452" s="18"/>
      <c r="L1452" s="25"/>
    </row>
    <row r="1453" hidden="1" customHeight="1" spans="1:12">
      <c r="A1453" s="14" t="str">
        <f t="shared" si="29"/>
        <v>0x000001C8</v>
      </c>
      <c r="B1453" s="15">
        <f>SUM_HEX(C1452:F1452,B1452,3)</f>
        <v>456</v>
      </c>
      <c r="C1453" s="16" t="s">
        <v>274</v>
      </c>
      <c r="D1453" s="16"/>
      <c r="E1453" s="16"/>
      <c r="F1453" s="16"/>
      <c r="G1453" s="48"/>
      <c r="H1453" s="48"/>
      <c r="I1453" s="18"/>
      <c r="J1453" s="18"/>
      <c r="K1453" s="18"/>
      <c r="L1453" s="25"/>
    </row>
    <row r="1454" hidden="1" customHeight="1" spans="1:12">
      <c r="A1454" s="14" t="str">
        <f t="shared" si="29"/>
        <v>0x000001CC</v>
      </c>
      <c r="B1454" s="15">
        <f>SUM_HEX(C1453:F1453,B1453,3)</f>
        <v>460</v>
      </c>
      <c r="C1454" s="16" t="s">
        <v>23</v>
      </c>
      <c r="D1454" s="16"/>
      <c r="E1454" s="16"/>
      <c r="F1454" s="16"/>
      <c r="G1454" s="46" t="s">
        <v>157</v>
      </c>
      <c r="H1454" s="46" t="s">
        <v>326</v>
      </c>
      <c r="I1454" s="24" t="s">
        <v>363</v>
      </c>
      <c r="J1454" s="18"/>
      <c r="K1454" s="18"/>
      <c r="L1454" s="25" t="s">
        <v>272</v>
      </c>
    </row>
    <row r="1455" hidden="1" customHeight="1" spans="1:12">
      <c r="A1455" s="14" t="str">
        <f t="shared" si="29"/>
        <v>0x000001D0</v>
      </c>
      <c r="B1455" s="15">
        <f>SUM_HEX(C1454:F1454,B1454,3)</f>
        <v>464</v>
      </c>
      <c r="C1455" s="16" t="s">
        <v>364</v>
      </c>
      <c r="D1455" s="16"/>
      <c r="E1455" s="16"/>
      <c r="F1455" s="16"/>
      <c r="G1455" s="47"/>
      <c r="H1455" s="47"/>
      <c r="I1455" s="18"/>
      <c r="J1455" s="18"/>
      <c r="K1455" s="18"/>
      <c r="L1455" s="25"/>
    </row>
    <row r="1456" hidden="1" customHeight="1" spans="1:12">
      <c r="A1456" s="14" t="str">
        <f t="shared" si="29"/>
        <v>0x000001D4</v>
      </c>
      <c r="B1456" s="15">
        <f>SUM_HEX(C1455:F1455,B1455,3)</f>
        <v>468</v>
      </c>
      <c r="C1456" s="16" t="s">
        <v>330</v>
      </c>
      <c r="D1456" s="16" t="s">
        <v>330</v>
      </c>
      <c r="E1456" s="16" t="s">
        <v>330</v>
      </c>
      <c r="F1456" s="16"/>
      <c r="G1456" s="47"/>
      <c r="H1456" s="47"/>
      <c r="I1456" s="18"/>
      <c r="J1456" s="18"/>
      <c r="K1456" s="18"/>
      <c r="L1456" s="25"/>
    </row>
    <row r="1457" hidden="1" customHeight="1" spans="1:12">
      <c r="A1457" s="14" t="str">
        <f t="shared" si="29"/>
        <v>0x000001E0</v>
      </c>
      <c r="B1457" s="15">
        <f>SUM_HEX(C1456:F1456,B1456,3)</f>
        <v>480</v>
      </c>
      <c r="C1457" s="16" t="s">
        <v>23</v>
      </c>
      <c r="D1457" s="16" t="s">
        <v>23</v>
      </c>
      <c r="E1457" s="16" t="s">
        <v>23</v>
      </c>
      <c r="F1457" s="16"/>
      <c r="G1457" s="47"/>
      <c r="H1457" s="47"/>
      <c r="I1457" s="18"/>
      <c r="J1457" s="18"/>
      <c r="K1457" s="18"/>
      <c r="L1457" s="25"/>
    </row>
    <row r="1458" hidden="1" customHeight="1" spans="1:12">
      <c r="A1458" s="14" t="str">
        <f t="shared" si="29"/>
        <v>0x000001EC</v>
      </c>
      <c r="B1458" s="15">
        <f>SUM_HEX(C1457:F1457,B1457,3)</f>
        <v>492</v>
      </c>
      <c r="C1458" s="16" t="s">
        <v>274</v>
      </c>
      <c r="D1458" s="16"/>
      <c r="E1458" s="16"/>
      <c r="F1458" s="16"/>
      <c r="G1458" s="48"/>
      <c r="H1458" s="48"/>
      <c r="I1458" s="18"/>
      <c r="J1458" s="18"/>
      <c r="K1458" s="18"/>
      <c r="L1458" s="25"/>
    </row>
    <row r="1459" hidden="1" customHeight="1" spans="1:12">
      <c r="A1459" s="14" t="str">
        <f t="shared" si="29"/>
        <v>0x000001F0</v>
      </c>
      <c r="B1459" s="15">
        <f>SUM_HEX(C1458:F1458,B1458,3)</f>
        <v>496</v>
      </c>
      <c r="C1459" s="16" t="s">
        <v>23</v>
      </c>
      <c r="D1459" s="16"/>
      <c r="E1459" s="16"/>
      <c r="F1459" s="16"/>
      <c r="G1459" s="46" t="s">
        <v>157</v>
      </c>
      <c r="H1459" s="46" t="s">
        <v>212</v>
      </c>
      <c r="I1459" s="18" t="s">
        <v>365</v>
      </c>
      <c r="J1459" s="18"/>
      <c r="K1459" s="18"/>
      <c r="L1459" s="25" t="s">
        <v>272</v>
      </c>
    </row>
    <row r="1460" hidden="1" customHeight="1" spans="1:12">
      <c r="A1460" s="14" t="str">
        <f t="shared" si="29"/>
        <v>0x000001F4</v>
      </c>
      <c r="B1460" s="15">
        <f>SUM_HEX(C1459:F1459,B1459,3)</f>
        <v>500</v>
      </c>
      <c r="C1460" s="16" t="s">
        <v>366</v>
      </c>
      <c r="D1460" s="16"/>
      <c r="E1460" s="16"/>
      <c r="F1460" s="16"/>
      <c r="G1460" s="47"/>
      <c r="H1460" s="47"/>
      <c r="I1460" s="18"/>
      <c r="J1460" s="18"/>
      <c r="K1460" s="18"/>
      <c r="L1460" s="25"/>
    </row>
    <row r="1461" hidden="1" customHeight="1" spans="1:12">
      <c r="A1461" s="14" t="str">
        <f t="shared" si="29"/>
        <v>0x000001F8</v>
      </c>
      <c r="B1461" s="15">
        <f>SUM_HEX(C1460:F1460,B1460,3)</f>
        <v>504</v>
      </c>
      <c r="C1461" s="16" t="s">
        <v>330</v>
      </c>
      <c r="D1461" s="16" t="s">
        <v>23</v>
      </c>
      <c r="E1461" s="16"/>
      <c r="F1461" s="16"/>
      <c r="G1461" s="47"/>
      <c r="H1461" s="47"/>
      <c r="I1461" s="18"/>
      <c r="J1461" s="18"/>
      <c r="K1461" s="18"/>
      <c r="L1461" s="25"/>
    </row>
    <row r="1462" hidden="1" customHeight="1" spans="1:12">
      <c r="A1462" s="14" t="str">
        <f t="shared" si="29"/>
        <v>0x00000200</v>
      </c>
      <c r="B1462" s="15">
        <f>SUM_HEX(C1461:F1461,B1461,3)</f>
        <v>512</v>
      </c>
      <c r="C1462" s="16" t="s">
        <v>274</v>
      </c>
      <c r="D1462" s="16"/>
      <c r="E1462" s="16"/>
      <c r="F1462" s="16"/>
      <c r="G1462" s="48"/>
      <c r="H1462" s="48"/>
      <c r="I1462" s="18"/>
      <c r="J1462" s="18"/>
      <c r="K1462" s="18"/>
      <c r="L1462" s="25"/>
    </row>
    <row r="1463" hidden="1" customHeight="1" spans="1:12">
      <c r="A1463" s="14" t="str">
        <f t="shared" si="29"/>
        <v>0x00000204</v>
      </c>
      <c r="B1463" s="15">
        <f>SUM_HEX(C1462:F1462,B1462,3)</f>
        <v>516</v>
      </c>
      <c r="C1463" s="16" t="s">
        <v>23</v>
      </c>
      <c r="D1463" s="16"/>
      <c r="E1463" s="16"/>
      <c r="F1463" s="16"/>
      <c r="G1463" s="46" t="s">
        <v>157</v>
      </c>
      <c r="H1463" s="46" t="s">
        <v>212</v>
      </c>
      <c r="I1463" s="18" t="s">
        <v>367</v>
      </c>
      <c r="J1463" s="18"/>
      <c r="K1463" s="18"/>
      <c r="L1463" s="25" t="s">
        <v>272</v>
      </c>
    </row>
    <row r="1464" hidden="1" customHeight="1" spans="1:12">
      <c r="A1464" s="14" t="str">
        <f t="shared" si="29"/>
        <v>0x00000208</v>
      </c>
      <c r="B1464" s="15">
        <f>SUM_HEX(C1463:F1463,B1463,3)</f>
        <v>520</v>
      </c>
      <c r="C1464" s="16" t="s">
        <v>368</v>
      </c>
      <c r="D1464" s="16"/>
      <c r="E1464" s="16"/>
      <c r="F1464" s="16"/>
      <c r="G1464" s="47"/>
      <c r="H1464" s="47"/>
      <c r="I1464" s="18"/>
      <c r="J1464" s="18"/>
      <c r="K1464" s="18"/>
      <c r="L1464" s="25"/>
    </row>
    <row r="1465" hidden="1" customHeight="1" spans="1:12">
      <c r="A1465" s="14" t="str">
        <f t="shared" si="29"/>
        <v>0x0000020C</v>
      </c>
      <c r="B1465" s="15">
        <f>SUM_HEX(C1464:F1464,B1464,3)</f>
        <v>524</v>
      </c>
      <c r="C1465" s="16" t="s">
        <v>330</v>
      </c>
      <c r="D1465" s="16" t="s">
        <v>23</v>
      </c>
      <c r="E1465" s="16"/>
      <c r="F1465" s="16"/>
      <c r="G1465" s="47"/>
      <c r="H1465" s="47"/>
      <c r="I1465" s="18"/>
      <c r="J1465" s="18"/>
      <c r="K1465" s="18"/>
      <c r="L1465" s="25"/>
    </row>
    <row r="1466" hidden="1" customHeight="1" spans="1:12">
      <c r="A1466" s="14" t="str">
        <f t="shared" si="29"/>
        <v>0x00000214</v>
      </c>
      <c r="B1466" s="15">
        <f>SUM_HEX(C1465:F1465,B1465,3)</f>
        <v>532</v>
      </c>
      <c r="C1466" s="16" t="s">
        <v>274</v>
      </c>
      <c r="D1466" s="16"/>
      <c r="E1466" s="16"/>
      <c r="F1466" s="16"/>
      <c r="G1466" s="48"/>
      <c r="H1466" s="48"/>
      <c r="I1466" s="18"/>
      <c r="J1466" s="18"/>
      <c r="K1466" s="18"/>
      <c r="L1466" s="25"/>
    </row>
    <row r="1467" hidden="1" customHeight="1" spans="1:12">
      <c r="A1467" s="14" t="str">
        <f t="shared" si="29"/>
        <v>0x00000218</v>
      </c>
      <c r="B1467" s="15">
        <f>SUM_HEX(C1466:F1466,B1466,3)</f>
        <v>536</v>
      </c>
      <c r="C1467" s="16" t="s">
        <v>23</v>
      </c>
      <c r="D1467" s="16" t="s">
        <v>23</v>
      </c>
      <c r="E1467" s="16" t="s">
        <v>23</v>
      </c>
      <c r="F1467" s="16"/>
      <c r="G1467" s="18" t="s">
        <v>24</v>
      </c>
      <c r="H1467" s="18" t="s">
        <v>536</v>
      </c>
      <c r="I1467" s="24" t="s">
        <v>370</v>
      </c>
      <c r="J1467" s="18"/>
      <c r="K1467" s="18"/>
      <c r="L1467" s="25"/>
    </row>
    <row r="1468" hidden="1" customHeight="1" spans="1:12">
      <c r="A1468" s="14" t="str">
        <f t="shared" si="29"/>
        <v>0x00000224</v>
      </c>
      <c r="B1468" s="15">
        <f>SUM_HEX(C1467:F1467,B1467,3)</f>
        <v>548</v>
      </c>
      <c r="C1468" s="16" t="s">
        <v>23</v>
      </c>
      <c r="D1468" s="16"/>
      <c r="E1468" s="16"/>
      <c r="F1468" s="16"/>
      <c r="G1468" s="18" t="s">
        <v>15</v>
      </c>
      <c r="H1468" s="18"/>
      <c r="I1468" s="24" t="s">
        <v>371</v>
      </c>
      <c r="J1468" s="18"/>
      <c r="K1468" s="18" t="s">
        <v>372</v>
      </c>
      <c r="L1468" s="25"/>
    </row>
    <row r="1469" hidden="1" customHeight="1" spans="1:12">
      <c r="A1469" s="14" t="str">
        <f t="shared" si="29"/>
        <v>0x00000228</v>
      </c>
      <c r="B1469" s="15">
        <f>SUM_HEX(C1468:F1468,B1468,3)</f>
        <v>552</v>
      </c>
      <c r="C1469" s="16" t="s">
        <v>23</v>
      </c>
      <c r="D1469" s="16"/>
      <c r="E1469" s="16"/>
      <c r="F1469" s="16"/>
      <c r="G1469" s="18" t="s">
        <v>15</v>
      </c>
      <c r="H1469" s="18"/>
      <c r="I1469" s="24" t="s">
        <v>373</v>
      </c>
      <c r="J1469" s="18"/>
      <c r="K1469" s="18" t="s">
        <v>318</v>
      </c>
      <c r="L1469" s="25" t="s">
        <v>374</v>
      </c>
    </row>
    <row r="1470" hidden="1" customHeight="1" spans="1:12">
      <c r="A1470" s="14" t="str">
        <f t="shared" si="29"/>
        <v>0x0000022C</v>
      </c>
      <c r="B1470" s="15">
        <f>SUM_HEX(C1469:F1469,B1469,3)</f>
        <v>556</v>
      </c>
      <c r="C1470" s="16" t="s">
        <v>23</v>
      </c>
      <c r="D1470" s="16"/>
      <c r="E1470" s="16"/>
      <c r="F1470" s="16"/>
      <c r="G1470" s="46" t="s">
        <v>157</v>
      </c>
      <c r="H1470" s="46" t="s">
        <v>326</v>
      </c>
      <c r="I1470" s="24" t="s">
        <v>375</v>
      </c>
      <c r="J1470" s="18"/>
      <c r="K1470" s="18" t="s">
        <v>328</v>
      </c>
      <c r="L1470" s="25" t="s">
        <v>272</v>
      </c>
    </row>
    <row r="1471" hidden="1" customHeight="1" spans="1:12">
      <c r="A1471" s="14" t="str">
        <f t="shared" si="29"/>
        <v>0x00000230</v>
      </c>
      <c r="B1471" s="15">
        <f>SUM_HEX(C1470:F1470,B1470,3)</f>
        <v>560</v>
      </c>
      <c r="C1471" s="16" t="s">
        <v>376</v>
      </c>
      <c r="D1471" s="16"/>
      <c r="E1471" s="16"/>
      <c r="F1471" s="16"/>
      <c r="G1471" s="47"/>
      <c r="H1471" s="47"/>
      <c r="I1471" s="18"/>
      <c r="J1471" s="18"/>
      <c r="K1471" s="18"/>
      <c r="L1471" s="25"/>
    </row>
    <row r="1472" hidden="1" customHeight="1" spans="1:12">
      <c r="A1472" s="14" t="str">
        <f t="shared" si="29"/>
        <v>0x00000234</v>
      </c>
      <c r="B1472" s="15">
        <f>SUM_HEX(C1471:F1471,B1471,3)</f>
        <v>564</v>
      </c>
      <c r="C1472" s="16" t="s">
        <v>330</v>
      </c>
      <c r="D1472" s="16" t="s">
        <v>330</v>
      </c>
      <c r="E1472" s="16" t="s">
        <v>330</v>
      </c>
      <c r="F1472" s="16"/>
      <c r="G1472" s="47"/>
      <c r="H1472" s="47"/>
      <c r="I1472" s="18"/>
      <c r="J1472" s="18"/>
      <c r="K1472" s="18"/>
      <c r="L1472" s="25"/>
    </row>
    <row r="1473" hidden="1" customHeight="1" spans="1:12">
      <c r="A1473" s="14" t="str">
        <f t="shared" si="29"/>
        <v>0x00000240</v>
      </c>
      <c r="B1473" s="15">
        <f>SUM_HEX(C1472:F1472,B1472,3)</f>
        <v>576</v>
      </c>
      <c r="C1473" s="16" t="s">
        <v>23</v>
      </c>
      <c r="D1473" s="16" t="s">
        <v>23</v>
      </c>
      <c r="E1473" s="16" t="s">
        <v>23</v>
      </c>
      <c r="F1473" s="16"/>
      <c r="G1473" s="47"/>
      <c r="H1473" s="47"/>
      <c r="I1473" s="18"/>
      <c r="J1473" s="18"/>
      <c r="K1473" s="18"/>
      <c r="L1473" s="25"/>
    </row>
    <row r="1474" hidden="1" customHeight="1" spans="1:12">
      <c r="A1474" s="14" t="str">
        <f t="shared" si="29"/>
        <v>0x0000024C</v>
      </c>
      <c r="B1474" s="15">
        <f>SUM_HEX(C1473:F1473,B1473,3)</f>
        <v>588</v>
      </c>
      <c r="C1474" s="16" t="s">
        <v>274</v>
      </c>
      <c r="D1474" s="16"/>
      <c r="E1474" s="16"/>
      <c r="F1474" s="16"/>
      <c r="G1474" s="48"/>
      <c r="H1474" s="48"/>
      <c r="I1474" s="18"/>
      <c r="J1474" s="18"/>
      <c r="K1474" s="18"/>
      <c r="L1474" s="25"/>
    </row>
    <row r="1475" hidden="1" customHeight="1" spans="1:12">
      <c r="A1475" s="14" t="str">
        <f t="shared" si="29"/>
        <v>0x00000250</v>
      </c>
      <c r="B1475" s="15">
        <f>SUM_HEX(C1474:F1474,B1474,3)</f>
        <v>592</v>
      </c>
      <c r="C1475" s="16" t="s">
        <v>23</v>
      </c>
      <c r="D1475" s="16"/>
      <c r="E1475" s="16"/>
      <c r="F1475" s="16"/>
      <c r="G1475" s="18" t="s">
        <v>15</v>
      </c>
      <c r="H1475" s="18"/>
      <c r="I1475" s="24" t="s">
        <v>377</v>
      </c>
      <c r="J1475" s="18"/>
      <c r="K1475" s="18" t="s">
        <v>318</v>
      </c>
      <c r="L1475" s="25" t="s">
        <v>374</v>
      </c>
    </row>
    <row r="1476" hidden="1" customHeight="1" spans="1:12">
      <c r="A1476" s="14" t="str">
        <f t="shared" si="29"/>
        <v>0x00000254</v>
      </c>
      <c r="B1476" s="15">
        <f>SUM_HEX(C1475:F1475,B1475,3)</f>
        <v>596</v>
      </c>
      <c r="C1476" s="16" t="s">
        <v>23</v>
      </c>
      <c r="D1476" s="16"/>
      <c r="E1476" s="16"/>
      <c r="F1476" s="16"/>
      <c r="G1476" s="46" t="s">
        <v>157</v>
      </c>
      <c r="H1476" s="46" t="s">
        <v>326</v>
      </c>
      <c r="I1476" s="24" t="s">
        <v>378</v>
      </c>
      <c r="J1476" s="18"/>
      <c r="K1476" s="18" t="s">
        <v>332</v>
      </c>
      <c r="L1476" s="25" t="s">
        <v>333</v>
      </c>
    </row>
    <row r="1477" hidden="1" customHeight="1" spans="1:12">
      <c r="A1477" s="14" t="str">
        <f t="shared" si="29"/>
        <v>0x00000258</v>
      </c>
      <c r="B1477" s="15">
        <f>SUM_HEX(C1476:F1476,B1476,3)</f>
        <v>600</v>
      </c>
      <c r="C1477" s="16" t="s">
        <v>379</v>
      </c>
      <c r="D1477" s="16"/>
      <c r="E1477" s="16"/>
      <c r="F1477" s="16"/>
      <c r="G1477" s="47"/>
      <c r="H1477" s="47"/>
      <c r="I1477" s="18"/>
      <c r="J1477" s="18"/>
      <c r="K1477" s="18"/>
      <c r="L1477" s="25"/>
    </row>
    <row r="1478" hidden="1" customHeight="1" spans="1:12">
      <c r="A1478" s="14" t="str">
        <f t="shared" si="29"/>
        <v>0x0000025C</v>
      </c>
      <c r="B1478" s="15">
        <f>SUM_HEX(C1477:F1477,B1477,3)</f>
        <v>604</v>
      </c>
      <c r="C1478" s="16" t="s">
        <v>23</v>
      </c>
      <c r="D1478" s="16" t="s">
        <v>23</v>
      </c>
      <c r="E1478" s="16" t="s">
        <v>23</v>
      </c>
      <c r="F1478" s="16"/>
      <c r="G1478" s="47"/>
      <c r="H1478" s="47"/>
      <c r="I1478" s="18"/>
      <c r="J1478" s="18"/>
      <c r="K1478" s="18"/>
      <c r="L1478" s="25"/>
    </row>
    <row r="1479" hidden="1" customHeight="1" spans="1:12">
      <c r="A1479" s="14" t="str">
        <f t="shared" si="29"/>
        <v>0x00000268</v>
      </c>
      <c r="B1479" s="15">
        <f>SUM_HEX(C1478:F1478,B1478,3)</f>
        <v>616</v>
      </c>
      <c r="C1479" s="16" t="s">
        <v>23</v>
      </c>
      <c r="D1479" s="16" t="s">
        <v>23</v>
      </c>
      <c r="E1479" s="16" t="s">
        <v>23</v>
      </c>
      <c r="F1479" s="16"/>
      <c r="G1479" s="47"/>
      <c r="H1479" s="47"/>
      <c r="I1479" s="18"/>
      <c r="J1479" s="18"/>
      <c r="K1479" s="18"/>
      <c r="L1479" s="25"/>
    </row>
    <row r="1480" hidden="1" customHeight="1" spans="1:12">
      <c r="A1480" s="14" t="str">
        <f t="shared" si="29"/>
        <v>0x00000274</v>
      </c>
      <c r="B1480" s="15">
        <f>SUM_HEX(C1479:F1479,B1479,3)</f>
        <v>628</v>
      </c>
      <c r="C1480" s="16" t="s">
        <v>274</v>
      </c>
      <c r="D1480" s="16"/>
      <c r="E1480" s="16"/>
      <c r="F1480" s="16"/>
      <c r="G1480" s="48"/>
      <c r="H1480" s="48"/>
      <c r="I1480" s="18"/>
      <c r="J1480" s="18"/>
      <c r="K1480" s="18"/>
      <c r="L1480" s="25"/>
    </row>
    <row r="1481" hidden="1" customHeight="1" spans="1:12">
      <c r="A1481" s="14" t="str">
        <f t="shared" si="29"/>
        <v>0x00000278</v>
      </c>
      <c r="B1481" s="15">
        <f>SUM_HEX(C1480:F1480,B1480,3)</f>
        <v>632</v>
      </c>
      <c r="C1481" s="16" t="s">
        <v>23</v>
      </c>
      <c r="D1481" s="16"/>
      <c r="E1481" s="16"/>
      <c r="F1481" s="16"/>
      <c r="G1481" s="18" t="s">
        <v>15</v>
      </c>
      <c r="H1481" s="18"/>
      <c r="I1481" s="24" t="s">
        <v>380</v>
      </c>
      <c r="J1481" s="18"/>
      <c r="K1481" s="18" t="s">
        <v>318</v>
      </c>
      <c r="L1481" s="25" t="s">
        <v>374</v>
      </c>
    </row>
    <row r="1482" hidden="1" customHeight="1" spans="1:12">
      <c r="A1482" s="14" t="str">
        <f t="shared" si="29"/>
        <v>0x0000027C</v>
      </c>
      <c r="B1482" s="15">
        <f>SUM_HEX(C1481:F1481,B1481,3)</f>
        <v>636</v>
      </c>
      <c r="C1482" s="16" t="s">
        <v>23</v>
      </c>
      <c r="D1482" s="16"/>
      <c r="E1482" s="16"/>
      <c r="F1482" s="16"/>
      <c r="G1482" s="46" t="s">
        <v>157</v>
      </c>
      <c r="H1482" s="46" t="s">
        <v>335</v>
      </c>
      <c r="I1482" s="24" t="s">
        <v>381</v>
      </c>
      <c r="J1482" s="18"/>
      <c r="K1482" s="18" t="s">
        <v>337</v>
      </c>
      <c r="L1482" s="25"/>
    </row>
    <row r="1483" hidden="1" customHeight="1" spans="1:12">
      <c r="A1483" s="14" t="str">
        <f t="shared" si="29"/>
        <v>0x00000280</v>
      </c>
      <c r="B1483" s="15">
        <f>SUM_HEX(C1482:F1482,B1482,3)</f>
        <v>640</v>
      </c>
      <c r="C1483" s="16" t="s">
        <v>382</v>
      </c>
      <c r="D1483" s="16"/>
      <c r="E1483" s="16"/>
      <c r="F1483" s="16"/>
      <c r="G1483" s="47"/>
      <c r="H1483" s="47"/>
      <c r="I1483" s="18"/>
      <c r="J1483" s="18"/>
      <c r="K1483" s="18"/>
      <c r="L1483" s="25"/>
    </row>
    <row r="1484" hidden="1" customHeight="1" spans="1:12">
      <c r="A1484" s="14" t="str">
        <f t="shared" si="29"/>
        <v>0x00000284</v>
      </c>
      <c r="B1484" s="15">
        <f>SUM_HEX(C1483:F1483,B1483,3)</f>
        <v>644</v>
      </c>
      <c r="C1484" s="16" t="s">
        <v>274</v>
      </c>
      <c r="D1484" s="16" t="s">
        <v>23</v>
      </c>
      <c r="E1484" s="16"/>
      <c r="F1484" s="16"/>
      <c r="G1484" s="47"/>
      <c r="H1484" s="47"/>
      <c r="I1484" s="18"/>
      <c r="J1484" s="18"/>
      <c r="K1484" s="18"/>
      <c r="L1484" s="25"/>
    </row>
    <row r="1485" hidden="1" customHeight="1" spans="1:12">
      <c r="A1485" s="14" t="str">
        <f t="shared" si="29"/>
        <v>0x0000028C</v>
      </c>
      <c r="B1485" s="15">
        <f>SUM_HEX(C1484:F1484,B1484,3)</f>
        <v>652</v>
      </c>
      <c r="C1485" s="16" t="s">
        <v>274</v>
      </c>
      <c r="D1485" s="16"/>
      <c r="E1485" s="16"/>
      <c r="F1485" s="16"/>
      <c r="G1485" s="48"/>
      <c r="H1485" s="48"/>
      <c r="I1485" s="18"/>
      <c r="J1485" s="18"/>
      <c r="K1485" s="18"/>
      <c r="L1485" s="25"/>
    </row>
    <row r="1486" hidden="1" customHeight="1" spans="1:12">
      <c r="A1486" s="14" t="str">
        <f t="shared" si="29"/>
        <v>0x00000290</v>
      </c>
      <c r="B1486" s="15">
        <f>SUM_HEX(C1485:F1485,B1485,3)</f>
        <v>656</v>
      </c>
      <c r="C1486" s="16" t="s">
        <v>23</v>
      </c>
      <c r="D1486" s="16"/>
      <c r="E1486" s="16"/>
      <c r="F1486" s="16"/>
      <c r="G1486" s="46" t="s">
        <v>157</v>
      </c>
      <c r="H1486" s="46" t="s">
        <v>335</v>
      </c>
      <c r="I1486" s="24" t="s">
        <v>383</v>
      </c>
      <c r="J1486" s="18"/>
      <c r="K1486" s="18" t="s">
        <v>337</v>
      </c>
      <c r="L1486" s="25"/>
    </row>
    <row r="1487" hidden="1" customHeight="1" spans="1:12">
      <c r="A1487" s="14" t="str">
        <f t="shared" si="29"/>
        <v>0x00000294</v>
      </c>
      <c r="B1487" s="15">
        <f>SUM_HEX(C1486:F1486,B1486,3)</f>
        <v>660</v>
      </c>
      <c r="C1487" s="16" t="s">
        <v>384</v>
      </c>
      <c r="D1487" s="16"/>
      <c r="E1487" s="16"/>
      <c r="F1487" s="16"/>
      <c r="G1487" s="47"/>
      <c r="H1487" s="47"/>
      <c r="I1487" s="18"/>
      <c r="J1487" s="18"/>
      <c r="K1487" s="18"/>
      <c r="L1487" s="25"/>
    </row>
    <row r="1488" hidden="1" customHeight="1" spans="1:12">
      <c r="A1488" s="14" t="str">
        <f t="shared" si="29"/>
        <v>0x00000298</v>
      </c>
      <c r="B1488" s="15">
        <f>SUM_HEX(C1487:F1487,B1487,3)</f>
        <v>664</v>
      </c>
      <c r="C1488" s="16" t="s">
        <v>274</v>
      </c>
      <c r="D1488" s="16" t="s">
        <v>23</v>
      </c>
      <c r="E1488" s="16"/>
      <c r="F1488" s="16"/>
      <c r="G1488" s="47"/>
      <c r="H1488" s="47"/>
      <c r="I1488" s="18"/>
      <c r="J1488" s="18"/>
      <c r="K1488" s="18"/>
      <c r="L1488" s="25"/>
    </row>
    <row r="1489" hidden="1" customHeight="1" spans="1:12">
      <c r="A1489" s="14" t="str">
        <f t="shared" si="29"/>
        <v>0x000002A0</v>
      </c>
      <c r="B1489" s="15">
        <f>SUM_HEX(C1488:F1488,B1488,3)</f>
        <v>672</v>
      </c>
      <c r="C1489" s="16" t="s">
        <v>274</v>
      </c>
      <c r="D1489" s="16"/>
      <c r="E1489" s="16"/>
      <c r="F1489" s="16"/>
      <c r="G1489" s="48"/>
      <c r="H1489" s="48"/>
      <c r="I1489" s="18"/>
      <c r="J1489" s="18"/>
      <c r="K1489" s="18"/>
      <c r="L1489" s="25"/>
    </row>
    <row r="1490" hidden="1" customHeight="1" spans="1:12">
      <c r="A1490" s="14" t="str">
        <f t="shared" si="29"/>
        <v>0x000002A4</v>
      </c>
      <c r="B1490" s="15">
        <f>SUM_HEX(C1489:F1489,B1489,3)</f>
        <v>676</v>
      </c>
      <c r="C1490" s="16" t="s">
        <v>23</v>
      </c>
      <c r="D1490" s="16"/>
      <c r="E1490" s="16"/>
      <c r="F1490" s="16"/>
      <c r="G1490" s="46" t="s">
        <v>157</v>
      </c>
      <c r="H1490" s="46" t="s">
        <v>335</v>
      </c>
      <c r="I1490" s="24" t="s">
        <v>385</v>
      </c>
      <c r="J1490" s="18"/>
      <c r="K1490" s="18" t="s">
        <v>337</v>
      </c>
      <c r="L1490" s="25"/>
    </row>
    <row r="1491" hidden="1" customHeight="1" spans="1:12">
      <c r="A1491" s="14" t="str">
        <f t="shared" si="29"/>
        <v>0x000002A8</v>
      </c>
      <c r="B1491" s="15">
        <f>SUM_HEX(C1490:F1490,B1490,3)</f>
        <v>680</v>
      </c>
      <c r="C1491" s="16" t="s">
        <v>386</v>
      </c>
      <c r="D1491" s="16"/>
      <c r="E1491" s="16"/>
      <c r="F1491" s="16"/>
      <c r="G1491" s="47"/>
      <c r="H1491" s="47"/>
      <c r="I1491" s="18"/>
      <c r="J1491" s="18"/>
      <c r="K1491" s="18"/>
      <c r="L1491" s="25"/>
    </row>
    <row r="1492" hidden="1" customHeight="1" spans="1:12">
      <c r="A1492" s="14" t="str">
        <f t="shared" si="29"/>
        <v>0x000002AC</v>
      </c>
      <c r="B1492" s="15">
        <f>SUM_HEX(C1491:F1491,B1491,3)</f>
        <v>684</v>
      </c>
      <c r="C1492" s="16" t="s">
        <v>274</v>
      </c>
      <c r="D1492" s="16" t="s">
        <v>23</v>
      </c>
      <c r="E1492" s="16"/>
      <c r="F1492" s="16"/>
      <c r="G1492" s="47"/>
      <c r="H1492" s="47"/>
      <c r="I1492" s="18"/>
      <c r="J1492" s="18"/>
      <c r="K1492" s="18"/>
      <c r="L1492" s="25"/>
    </row>
    <row r="1493" hidden="1" customHeight="1" spans="1:12">
      <c r="A1493" s="14" t="str">
        <f t="shared" si="29"/>
        <v>0x000002B4</v>
      </c>
      <c r="B1493" s="15">
        <f>SUM_HEX(C1492:F1492,B1492,3)</f>
        <v>692</v>
      </c>
      <c r="C1493" s="16" t="s">
        <v>274</v>
      </c>
      <c r="D1493" s="16"/>
      <c r="E1493" s="16"/>
      <c r="F1493" s="16"/>
      <c r="G1493" s="48"/>
      <c r="H1493" s="48"/>
      <c r="I1493" s="18"/>
      <c r="J1493" s="18"/>
      <c r="K1493" s="18"/>
      <c r="L1493" s="25"/>
    </row>
    <row r="1494" hidden="1" customHeight="1" spans="1:12">
      <c r="A1494" s="14" t="str">
        <f t="shared" si="29"/>
        <v>0x000002B8</v>
      </c>
      <c r="B1494" s="15">
        <f>SUM_HEX(C1493:F1493,B1493,3)</f>
        <v>696</v>
      </c>
      <c r="C1494" s="16" t="s">
        <v>23</v>
      </c>
      <c r="D1494" s="16"/>
      <c r="E1494" s="16"/>
      <c r="F1494" s="16"/>
      <c r="G1494" s="18" t="s">
        <v>15</v>
      </c>
      <c r="H1494" s="18"/>
      <c r="I1494" s="24" t="s">
        <v>387</v>
      </c>
      <c r="J1494" s="18"/>
      <c r="K1494" s="18" t="s">
        <v>318</v>
      </c>
      <c r="L1494" s="25" t="s">
        <v>374</v>
      </c>
    </row>
    <row r="1495" hidden="1" customHeight="1" spans="1:12">
      <c r="A1495" s="14" t="str">
        <f t="shared" ref="A1495:A1558" si="30">"0x"&amp;DEC2HEX(B1495,8)</f>
        <v>0x000002BC</v>
      </c>
      <c r="B1495" s="15">
        <f>SUM_HEX(C1494:F1494,B1494,3)</f>
        <v>700</v>
      </c>
      <c r="C1495" s="16" t="s">
        <v>23</v>
      </c>
      <c r="D1495" s="16"/>
      <c r="E1495" s="16"/>
      <c r="F1495" s="16"/>
      <c r="G1495" s="46" t="s">
        <v>157</v>
      </c>
      <c r="H1495" s="46" t="s">
        <v>388</v>
      </c>
      <c r="I1495" s="18" t="s">
        <v>389</v>
      </c>
      <c r="J1495" s="18"/>
      <c r="K1495" s="18"/>
      <c r="L1495" s="25"/>
    </row>
    <row r="1496" hidden="1" customHeight="1" spans="1:12">
      <c r="A1496" s="14" t="str">
        <f t="shared" si="30"/>
        <v>0x000002C0</v>
      </c>
      <c r="B1496" s="15">
        <f>SUM_HEX(C1495:F1495,B1495,3)</f>
        <v>704</v>
      </c>
      <c r="C1496" s="16" t="s">
        <v>390</v>
      </c>
      <c r="D1496" s="16"/>
      <c r="E1496" s="16"/>
      <c r="F1496" s="16"/>
      <c r="G1496" s="47"/>
      <c r="H1496" s="47"/>
      <c r="I1496" s="18"/>
      <c r="J1496" s="18"/>
      <c r="K1496" s="18"/>
      <c r="L1496" s="25"/>
    </row>
    <row r="1497" hidden="1" customHeight="1" spans="1:12">
      <c r="A1497" s="14" t="str">
        <f t="shared" si="30"/>
        <v>0x000002C4</v>
      </c>
      <c r="B1497" s="15">
        <f>SUM_HEX(C1496:F1496,B1496,3)</f>
        <v>708</v>
      </c>
      <c r="C1497" s="16" t="s">
        <v>391</v>
      </c>
      <c r="D1497" s="16" t="s">
        <v>391</v>
      </c>
      <c r="E1497" s="16"/>
      <c r="F1497" s="16"/>
      <c r="G1497" s="47"/>
      <c r="H1497" s="47"/>
      <c r="I1497" s="18"/>
      <c r="J1497" s="18"/>
      <c r="K1497" s="18"/>
      <c r="L1497" s="25"/>
    </row>
    <row r="1498" hidden="1" customHeight="1" spans="1:12">
      <c r="A1498" s="14" t="str">
        <f t="shared" si="30"/>
        <v>0x000002C8</v>
      </c>
      <c r="B1498" s="15">
        <f>SUM_HEX(C1497:F1497,B1497,3)</f>
        <v>712</v>
      </c>
      <c r="C1498" s="16" t="s">
        <v>274</v>
      </c>
      <c r="D1498" s="16"/>
      <c r="E1498" s="16"/>
      <c r="F1498" s="16"/>
      <c r="G1498" s="48"/>
      <c r="H1498" s="48"/>
      <c r="I1498" s="18"/>
      <c r="J1498" s="18"/>
      <c r="K1498" s="18"/>
      <c r="L1498" s="25"/>
    </row>
    <row r="1499" hidden="1" customHeight="1" spans="1:12">
      <c r="A1499" s="14" t="str">
        <f t="shared" si="30"/>
        <v>0x000002CC</v>
      </c>
      <c r="B1499" s="15">
        <f>SUM_HEX(C1498:F1498,B1498,3)</f>
        <v>716</v>
      </c>
      <c r="C1499" s="16" t="s">
        <v>392</v>
      </c>
      <c r="D1499" s="16"/>
      <c r="E1499" s="16"/>
      <c r="F1499" s="16"/>
      <c r="G1499" s="18" t="s">
        <v>393</v>
      </c>
      <c r="H1499" s="18"/>
      <c r="I1499" s="24" t="s">
        <v>394</v>
      </c>
      <c r="J1499" s="18"/>
      <c r="K1499" s="18"/>
      <c r="L1499" s="25"/>
    </row>
    <row r="1500" hidden="1" customHeight="1" spans="1:12">
      <c r="A1500" s="14" t="str">
        <f t="shared" si="30"/>
        <v>0x000002CD</v>
      </c>
      <c r="B1500" s="15">
        <f>SUM_HEX(C1499:F1499,B1499,3)</f>
        <v>717</v>
      </c>
      <c r="C1500" s="16" t="s">
        <v>392</v>
      </c>
      <c r="D1500" s="16"/>
      <c r="E1500" s="16"/>
      <c r="F1500" s="16"/>
      <c r="G1500" s="18" t="s">
        <v>393</v>
      </c>
      <c r="H1500" s="18"/>
      <c r="I1500" s="24" t="s">
        <v>395</v>
      </c>
      <c r="J1500" s="18"/>
      <c r="K1500" s="18"/>
      <c r="L1500" s="25"/>
    </row>
    <row r="1501" hidden="1" customHeight="1" spans="1:12">
      <c r="A1501" s="14" t="str">
        <f t="shared" si="30"/>
        <v>0x000002CE</v>
      </c>
      <c r="B1501" s="15">
        <f>SUM_HEX(C1500:F1500,B1500,3)</f>
        <v>718</v>
      </c>
      <c r="C1501" s="16" t="s">
        <v>392</v>
      </c>
      <c r="D1501" s="16"/>
      <c r="E1501" s="16"/>
      <c r="F1501" s="16"/>
      <c r="G1501" s="18" t="s">
        <v>393</v>
      </c>
      <c r="H1501" s="18"/>
      <c r="I1501" s="24" t="s">
        <v>396</v>
      </c>
      <c r="J1501" s="18"/>
      <c r="K1501" s="18"/>
      <c r="L1501" s="25"/>
    </row>
    <row r="1502" hidden="1" customHeight="1" spans="1:12">
      <c r="A1502" s="14" t="str">
        <f t="shared" si="30"/>
        <v>0x000002CF</v>
      </c>
      <c r="B1502" s="15">
        <f>SUM_HEX(C1501:F1501,B1501,3)</f>
        <v>719</v>
      </c>
      <c r="C1502" s="16" t="s">
        <v>392</v>
      </c>
      <c r="D1502" s="16"/>
      <c r="E1502" s="16"/>
      <c r="F1502" s="16"/>
      <c r="G1502" s="17"/>
      <c r="H1502" s="17"/>
      <c r="I1502" s="22"/>
      <c r="J1502" s="17"/>
      <c r="K1502" s="17"/>
      <c r="L1502" s="23"/>
    </row>
    <row r="1503" hidden="1" customHeight="1" spans="1:12">
      <c r="A1503" s="14" t="str">
        <f t="shared" si="30"/>
        <v>0x000002D0</v>
      </c>
      <c r="B1503" s="15">
        <f>SUM_HEX(C1502:F1502,B1502,3)</f>
        <v>720</v>
      </c>
      <c r="C1503" s="16" t="s">
        <v>316</v>
      </c>
      <c r="D1503" s="16"/>
      <c r="E1503" s="16"/>
      <c r="F1503" s="16"/>
      <c r="G1503" s="18" t="s">
        <v>212</v>
      </c>
      <c r="H1503" s="18"/>
      <c r="I1503" s="24" t="s">
        <v>397</v>
      </c>
      <c r="J1503" s="18"/>
      <c r="K1503" s="18"/>
      <c r="L1503" s="25"/>
    </row>
    <row r="1504" hidden="1" customHeight="1" spans="1:12">
      <c r="A1504" s="14" t="str">
        <f t="shared" si="30"/>
        <v>0x000002D4</v>
      </c>
      <c r="B1504" s="15">
        <f>SUM_HEX(C1503:F1503,B1503,3)</f>
        <v>724</v>
      </c>
      <c r="C1504" s="16" t="s">
        <v>391</v>
      </c>
      <c r="D1504" s="16"/>
      <c r="E1504" s="16"/>
      <c r="F1504" s="16"/>
      <c r="G1504" s="18" t="s">
        <v>398</v>
      </c>
      <c r="H1504" s="18"/>
      <c r="I1504" s="24" t="s">
        <v>399</v>
      </c>
      <c r="J1504" s="18"/>
      <c r="K1504" s="18"/>
      <c r="L1504" s="25"/>
    </row>
    <row r="1505" hidden="1" customHeight="1" spans="1:12">
      <c r="A1505" s="14" t="str">
        <f t="shared" si="30"/>
        <v>0x000002D6</v>
      </c>
      <c r="B1505" s="15">
        <f>SUM_HEX(C1504:F1504,B1504,3)</f>
        <v>726</v>
      </c>
      <c r="C1505" s="16" t="s">
        <v>391</v>
      </c>
      <c r="D1505" s="16"/>
      <c r="E1505" s="16"/>
      <c r="F1505" s="16"/>
      <c r="G1505" s="18" t="s">
        <v>398</v>
      </c>
      <c r="H1505" s="18"/>
      <c r="I1505" s="24" t="s">
        <v>400</v>
      </c>
      <c r="J1505" s="18"/>
      <c r="K1505" s="18"/>
      <c r="L1505" s="25"/>
    </row>
    <row r="1506" hidden="1" customHeight="1" spans="1:12">
      <c r="A1506" s="14" t="str">
        <f t="shared" si="30"/>
        <v>0x000002D8</v>
      </c>
      <c r="B1506" s="15">
        <f>SUM_HEX(C1505:F1505,B1505,3)</f>
        <v>728</v>
      </c>
      <c r="C1506" s="16" t="s">
        <v>401</v>
      </c>
      <c r="D1506" s="16"/>
      <c r="E1506" s="16"/>
      <c r="F1506" s="16"/>
      <c r="G1506" s="17"/>
      <c r="H1506" s="17"/>
      <c r="I1506" s="22"/>
      <c r="J1506" s="17"/>
      <c r="K1506" s="17"/>
      <c r="L1506" s="23"/>
    </row>
    <row r="1507" hidden="1" customHeight="1" spans="1:12">
      <c r="A1507" s="14" t="str">
        <f t="shared" si="30"/>
        <v>0x000002DC</v>
      </c>
      <c r="B1507" s="15">
        <f>SUM_HEX(C1506:F1506,B1506,3)</f>
        <v>732</v>
      </c>
      <c r="C1507" s="16" t="s">
        <v>401</v>
      </c>
      <c r="D1507" s="16"/>
      <c r="E1507" s="16"/>
      <c r="F1507" s="16"/>
      <c r="G1507" s="17"/>
      <c r="H1507" s="17"/>
      <c r="I1507" s="22"/>
      <c r="J1507" s="17"/>
      <c r="K1507" s="17"/>
      <c r="L1507" s="23"/>
    </row>
    <row r="1508" hidden="1" customHeight="1" spans="1:12">
      <c r="A1508" s="14" t="str">
        <f t="shared" si="30"/>
        <v>0x000002E0</v>
      </c>
      <c r="B1508" s="15">
        <f>SUM_HEX(C1507:F1507,B1507,3)</f>
        <v>736</v>
      </c>
      <c r="C1508" s="16" t="s">
        <v>23</v>
      </c>
      <c r="D1508" s="16"/>
      <c r="E1508" s="16"/>
      <c r="F1508" s="16"/>
      <c r="G1508" s="18" t="s">
        <v>212</v>
      </c>
      <c r="H1508" s="18"/>
      <c r="I1508" s="24" t="s">
        <v>402</v>
      </c>
      <c r="J1508" s="18"/>
      <c r="K1508" s="18"/>
      <c r="L1508" s="25" t="s">
        <v>272</v>
      </c>
    </row>
    <row r="1509" hidden="1" customHeight="1" spans="1:12">
      <c r="A1509" s="14" t="str">
        <f t="shared" si="30"/>
        <v>0x000002E4</v>
      </c>
      <c r="B1509" s="15">
        <f>SUM_HEX(C1508:F1508,B1508,3)</f>
        <v>740</v>
      </c>
      <c r="C1509" s="16" t="s">
        <v>148</v>
      </c>
      <c r="D1509" s="16"/>
      <c r="E1509" s="16"/>
      <c r="F1509" s="16"/>
      <c r="G1509" s="18" t="s">
        <v>212</v>
      </c>
      <c r="H1509" s="18"/>
      <c r="I1509" s="24" t="s">
        <v>403</v>
      </c>
      <c r="J1509" s="18"/>
      <c r="K1509" s="18"/>
      <c r="L1509" s="25" t="s">
        <v>272</v>
      </c>
    </row>
    <row r="1510" hidden="1" customHeight="1" spans="1:12">
      <c r="A1510" s="14" t="str">
        <f t="shared" si="30"/>
        <v>0x000002E8</v>
      </c>
      <c r="B1510" s="15">
        <f>SUM_HEX(C1509:F1509,B1509,3)</f>
        <v>744</v>
      </c>
      <c r="C1510" s="16" t="s">
        <v>274</v>
      </c>
      <c r="D1510" s="16"/>
      <c r="E1510" s="16"/>
      <c r="F1510" s="16"/>
      <c r="G1510" s="18" t="s">
        <v>15</v>
      </c>
      <c r="H1510" s="18"/>
      <c r="I1510" s="24" t="s">
        <v>404</v>
      </c>
      <c r="J1510" s="18"/>
      <c r="K1510" s="18" t="s">
        <v>405</v>
      </c>
      <c r="L1510" s="25" t="s">
        <v>280</v>
      </c>
    </row>
    <row r="1511" hidden="1" customHeight="1" spans="1:12">
      <c r="A1511" s="14" t="str">
        <f t="shared" si="30"/>
        <v>0x000002EC</v>
      </c>
      <c r="B1511" s="15">
        <f>SUM_HEX(C1510:F1510,B1510,3)</f>
        <v>748</v>
      </c>
      <c r="C1511" s="16" t="s">
        <v>23</v>
      </c>
      <c r="D1511" s="16"/>
      <c r="E1511" s="16"/>
      <c r="F1511" s="16"/>
      <c r="G1511" s="18" t="s">
        <v>212</v>
      </c>
      <c r="H1511" s="18"/>
      <c r="I1511" s="24" t="s">
        <v>406</v>
      </c>
      <c r="J1511" s="18"/>
      <c r="K1511" s="18"/>
      <c r="L1511" s="25"/>
    </row>
    <row r="1512" hidden="1" customHeight="1" spans="1:12">
      <c r="A1512" s="14" t="str">
        <f t="shared" si="30"/>
        <v>0x000002F0</v>
      </c>
      <c r="B1512" s="15">
        <f>SUM_HEX(C1511:F1511,B1511,3)</f>
        <v>752</v>
      </c>
      <c r="C1512" s="16" t="s">
        <v>23</v>
      </c>
      <c r="D1512" s="16"/>
      <c r="E1512" s="16"/>
      <c r="F1512" s="16"/>
      <c r="G1512" s="18" t="s">
        <v>212</v>
      </c>
      <c r="H1512" s="18"/>
      <c r="I1512" s="24" t="s">
        <v>407</v>
      </c>
      <c r="J1512" s="18"/>
      <c r="K1512" s="18"/>
      <c r="L1512" s="25"/>
    </row>
    <row r="1513" hidden="1" customHeight="1" spans="1:12">
      <c r="A1513" s="14" t="str">
        <f t="shared" si="30"/>
        <v>0x000002F4</v>
      </c>
      <c r="B1513" s="15">
        <f>SUM_HEX(C1512:F1512,B1512,3)</f>
        <v>756</v>
      </c>
      <c r="C1513" s="16" t="s">
        <v>23</v>
      </c>
      <c r="D1513" s="16"/>
      <c r="E1513" s="16"/>
      <c r="F1513" s="16"/>
      <c r="G1513" s="18" t="s">
        <v>212</v>
      </c>
      <c r="H1513" s="18"/>
      <c r="I1513" s="24" t="s">
        <v>408</v>
      </c>
      <c r="J1513" s="18"/>
      <c r="K1513" s="18"/>
      <c r="L1513" s="25" t="s">
        <v>272</v>
      </c>
    </row>
    <row r="1514" hidden="1" customHeight="1" spans="1:12">
      <c r="A1514" s="14" t="str">
        <f t="shared" si="30"/>
        <v>0x000002F8</v>
      </c>
      <c r="B1514" s="15">
        <f>SUM_HEX(C1513:F1513,B1513,3)</f>
        <v>760</v>
      </c>
      <c r="C1514" s="16" t="s">
        <v>23</v>
      </c>
      <c r="D1514" s="16"/>
      <c r="E1514" s="16"/>
      <c r="F1514" s="16"/>
      <c r="G1514" s="18" t="s">
        <v>212</v>
      </c>
      <c r="H1514" s="18"/>
      <c r="I1514" s="24" t="s">
        <v>409</v>
      </c>
      <c r="J1514" s="18"/>
      <c r="K1514" s="18"/>
      <c r="L1514" s="25" t="s">
        <v>272</v>
      </c>
    </row>
    <row r="1515" hidden="1" customHeight="1" spans="1:12">
      <c r="A1515" s="14" t="str">
        <f t="shared" si="30"/>
        <v>0x000002FC</v>
      </c>
      <c r="B1515" s="15">
        <f>SUM_HEX(C1514:F1514,B1514,3)</f>
        <v>764</v>
      </c>
      <c r="C1515" s="16" t="s">
        <v>23</v>
      </c>
      <c r="D1515" s="16"/>
      <c r="E1515" s="16"/>
      <c r="F1515" s="16"/>
      <c r="G1515" s="18" t="s">
        <v>212</v>
      </c>
      <c r="H1515" s="18"/>
      <c r="I1515" s="24" t="s">
        <v>410</v>
      </c>
      <c r="J1515" s="18"/>
      <c r="K1515" s="18"/>
      <c r="L1515" s="25"/>
    </row>
    <row r="1516" hidden="1" customHeight="1" spans="1:12">
      <c r="A1516" s="14" t="str">
        <f t="shared" si="30"/>
        <v>0x00000300</v>
      </c>
      <c r="B1516" s="15">
        <f>SUM_HEX(C1515:F1515,B1515,3)</f>
        <v>768</v>
      </c>
      <c r="C1516" s="16" t="s">
        <v>23</v>
      </c>
      <c r="D1516" s="16"/>
      <c r="E1516" s="16"/>
      <c r="F1516" s="16"/>
      <c r="G1516" s="18" t="s">
        <v>15</v>
      </c>
      <c r="H1516" s="18"/>
      <c r="I1516" s="24" t="s">
        <v>411</v>
      </c>
      <c r="J1516" s="18"/>
      <c r="K1516" s="18" t="s">
        <v>328</v>
      </c>
      <c r="L1516" s="25"/>
    </row>
    <row r="1517" hidden="1" customHeight="1" spans="1:12">
      <c r="A1517" s="14" t="str">
        <f t="shared" si="30"/>
        <v>0x00000304</v>
      </c>
      <c r="B1517" s="15">
        <f>SUM_HEX(C1516:F1516,B1516,3)</f>
        <v>772</v>
      </c>
      <c r="C1517" s="16" t="s">
        <v>148</v>
      </c>
      <c r="D1517" s="16"/>
      <c r="E1517" s="16"/>
      <c r="F1517" s="16"/>
      <c r="G1517" s="18" t="s">
        <v>212</v>
      </c>
      <c r="H1517" s="18"/>
      <c r="I1517" s="24" t="s">
        <v>412</v>
      </c>
      <c r="J1517" s="18"/>
      <c r="K1517" s="18"/>
      <c r="L1517" s="25"/>
    </row>
    <row r="1518" hidden="1" customHeight="1" spans="1:12">
      <c r="A1518" s="14" t="str">
        <f t="shared" si="30"/>
        <v>0x00000308</v>
      </c>
      <c r="B1518" s="15">
        <f>SUM_HEX(C1517:F1517,B1517,3)</f>
        <v>776</v>
      </c>
      <c r="C1518" s="16" t="s">
        <v>23</v>
      </c>
      <c r="D1518" s="16" t="s">
        <v>23</v>
      </c>
      <c r="E1518" s="16" t="s">
        <v>148</v>
      </c>
      <c r="F1518" s="16"/>
      <c r="G1518" s="18" t="s">
        <v>326</v>
      </c>
      <c r="H1518" s="18"/>
      <c r="I1518" s="24" t="s">
        <v>413</v>
      </c>
      <c r="J1518" s="18"/>
      <c r="K1518" s="18"/>
      <c r="L1518" s="25"/>
    </row>
    <row r="1519" hidden="1" customHeight="1" spans="1:12">
      <c r="A1519" s="14" t="str">
        <f t="shared" si="30"/>
        <v>0x00000314</v>
      </c>
      <c r="B1519" s="15">
        <f>SUM_HEX(C1518:F1518,B1518,3)</f>
        <v>788</v>
      </c>
      <c r="C1519" s="16" t="s">
        <v>148</v>
      </c>
      <c r="D1519" s="16"/>
      <c r="E1519" s="16"/>
      <c r="F1519" s="16"/>
      <c r="G1519" s="18" t="s">
        <v>212</v>
      </c>
      <c r="H1519" s="18"/>
      <c r="I1519" s="24" t="s">
        <v>414</v>
      </c>
      <c r="J1519" s="18"/>
      <c r="K1519" s="18"/>
      <c r="L1519" s="25"/>
    </row>
    <row r="1520" hidden="1" customHeight="1" spans="1:12">
      <c r="A1520" s="14" t="str">
        <f t="shared" si="30"/>
        <v>0x00000318</v>
      </c>
      <c r="B1520" s="15">
        <f>SUM_HEX(C1519:F1519,B1519,3)</f>
        <v>792</v>
      </c>
      <c r="C1520" s="16" t="s">
        <v>23</v>
      </c>
      <c r="D1520" s="16"/>
      <c r="E1520" s="16"/>
      <c r="F1520" s="16"/>
      <c r="G1520" s="18" t="s">
        <v>15</v>
      </c>
      <c r="H1520" s="18"/>
      <c r="I1520" s="24" t="s">
        <v>415</v>
      </c>
      <c r="J1520" s="18"/>
      <c r="K1520" s="18" t="s">
        <v>416</v>
      </c>
      <c r="L1520" s="25"/>
    </row>
    <row r="1521" hidden="1" customHeight="1" spans="1:12">
      <c r="A1521" s="14" t="str">
        <f t="shared" si="30"/>
        <v>0x0000031C</v>
      </c>
      <c r="B1521" s="15">
        <f>SUM_HEX(C1520:F1520,B1520,3)</f>
        <v>796</v>
      </c>
      <c r="C1521" s="16" t="s">
        <v>23</v>
      </c>
      <c r="D1521" s="16"/>
      <c r="E1521" s="16"/>
      <c r="F1521" s="16"/>
      <c r="G1521" s="46" t="s">
        <v>157</v>
      </c>
      <c r="H1521" s="46" t="s">
        <v>212</v>
      </c>
      <c r="I1521" s="18" t="s">
        <v>417</v>
      </c>
      <c r="J1521" s="18"/>
      <c r="K1521" s="18"/>
      <c r="L1521" s="25"/>
    </row>
    <row r="1522" hidden="1" customHeight="1" spans="1:12">
      <c r="A1522" s="14" t="str">
        <f t="shared" si="30"/>
        <v>0x00000320</v>
      </c>
      <c r="B1522" s="15">
        <f>SUM_HEX(C1521:F1521,B1521,3)</f>
        <v>800</v>
      </c>
      <c r="C1522" s="16" t="s">
        <v>418</v>
      </c>
      <c r="D1522" s="16"/>
      <c r="E1522" s="16"/>
      <c r="F1522" s="16"/>
      <c r="G1522" s="47"/>
      <c r="H1522" s="47"/>
      <c r="I1522" s="18"/>
      <c r="J1522" s="18"/>
      <c r="K1522" s="18"/>
      <c r="L1522" s="25"/>
    </row>
    <row r="1523" hidden="1" customHeight="1" spans="1:12">
      <c r="A1523" s="14" t="str">
        <f t="shared" si="30"/>
        <v>0x00000324</v>
      </c>
      <c r="B1523" s="15">
        <f>SUM_HEX(C1522:F1522,B1522,3)</f>
        <v>804</v>
      </c>
      <c r="C1523" s="16" t="s">
        <v>23</v>
      </c>
      <c r="D1523" s="16" t="s">
        <v>23</v>
      </c>
      <c r="E1523" s="16"/>
      <c r="F1523" s="16"/>
      <c r="G1523" s="47"/>
      <c r="H1523" s="47"/>
      <c r="I1523" s="18"/>
      <c r="J1523" s="18"/>
      <c r="K1523" s="18"/>
      <c r="L1523" s="25"/>
    </row>
    <row r="1524" hidden="1" customHeight="1" spans="1:12">
      <c r="A1524" s="14" t="str">
        <f t="shared" si="30"/>
        <v>0x0000032C</v>
      </c>
      <c r="B1524" s="15">
        <f>SUM_HEX(C1523:F1523,B1523,3)</f>
        <v>812</v>
      </c>
      <c r="C1524" s="16" t="s">
        <v>274</v>
      </c>
      <c r="D1524" s="16"/>
      <c r="E1524" s="16"/>
      <c r="F1524" s="16"/>
      <c r="G1524" s="48"/>
      <c r="H1524" s="48"/>
      <c r="I1524" s="18"/>
      <c r="J1524" s="18"/>
      <c r="K1524" s="18"/>
      <c r="L1524" s="25"/>
    </row>
    <row r="1525" hidden="1" customHeight="1" spans="1:12">
      <c r="A1525" s="14" t="str">
        <f t="shared" si="30"/>
        <v>0x00000330</v>
      </c>
      <c r="B1525" s="15">
        <f>SUM_HEX(C1524:F1524,B1524,3)</f>
        <v>816</v>
      </c>
      <c r="C1525" s="16" t="s">
        <v>23</v>
      </c>
      <c r="D1525" s="16"/>
      <c r="E1525" s="16"/>
      <c r="F1525" s="16"/>
      <c r="G1525" s="46" t="s">
        <v>157</v>
      </c>
      <c r="H1525" s="46" t="s">
        <v>212</v>
      </c>
      <c r="I1525" s="18" t="s">
        <v>419</v>
      </c>
      <c r="J1525" s="18"/>
      <c r="K1525" s="18"/>
      <c r="L1525" s="25"/>
    </row>
    <row r="1526" hidden="1" customHeight="1" spans="1:12">
      <c r="A1526" s="14" t="str">
        <f t="shared" si="30"/>
        <v>0x00000334</v>
      </c>
      <c r="B1526" s="15">
        <f>SUM_HEX(C1525:F1525,B1525,3)</f>
        <v>820</v>
      </c>
      <c r="C1526" s="16" t="s">
        <v>420</v>
      </c>
      <c r="D1526" s="16"/>
      <c r="E1526" s="16"/>
      <c r="F1526" s="16"/>
      <c r="G1526" s="47"/>
      <c r="H1526" s="47"/>
      <c r="I1526" s="18"/>
      <c r="J1526" s="18"/>
      <c r="K1526" s="18"/>
      <c r="L1526" s="25"/>
    </row>
    <row r="1527" hidden="1" customHeight="1" spans="1:12">
      <c r="A1527" s="14" t="str">
        <f t="shared" si="30"/>
        <v>0x00000338</v>
      </c>
      <c r="B1527" s="15">
        <f>SUM_HEX(C1526:F1526,B1526,3)</f>
        <v>824</v>
      </c>
      <c r="C1527" s="16" t="s">
        <v>23</v>
      </c>
      <c r="D1527" s="16" t="s">
        <v>23</v>
      </c>
      <c r="E1527" s="16"/>
      <c r="F1527" s="16"/>
      <c r="G1527" s="47"/>
      <c r="H1527" s="47"/>
      <c r="I1527" s="18"/>
      <c r="J1527" s="18"/>
      <c r="K1527" s="18"/>
      <c r="L1527" s="25"/>
    </row>
    <row r="1528" hidden="1" customHeight="1" spans="1:12">
      <c r="A1528" s="14" t="str">
        <f t="shared" si="30"/>
        <v>0x00000340</v>
      </c>
      <c r="B1528" s="15">
        <f>SUM_HEX(C1527:F1527,B1527,3)</f>
        <v>832</v>
      </c>
      <c r="C1528" s="16" t="s">
        <v>274</v>
      </c>
      <c r="D1528" s="16"/>
      <c r="E1528" s="16"/>
      <c r="F1528" s="16"/>
      <c r="G1528" s="48"/>
      <c r="H1528" s="48"/>
      <c r="I1528" s="18"/>
      <c r="J1528" s="18"/>
      <c r="K1528" s="18"/>
      <c r="L1528" s="25"/>
    </row>
    <row r="1529" hidden="1" customHeight="1" spans="1:12">
      <c r="A1529" s="14" t="str">
        <f t="shared" si="30"/>
        <v>0x00000344</v>
      </c>
      <c r="B1529" s="15">
        <f>SUM_HEX(C1528:F1528,B1528,3)</f>
        <v>836</v>
      </c>
      <c r="C1529" s="16" t="s">
        <v>23</v>
      </c>
      <c r="D1529" s="16"/>
      <c r="E1529" s="16"/>
      <c r="F1529" s="16"/>
      <c r="G1529" s="18" t="s">
        <v>15</v>
      </c>
      <c r="H1529" s="18"/>
      <c r="I1529" s="24" t="s">
        <v>421</v>
      </c>
      <c r="J1529" s="18"/>
      <c r="K1529" s="18" t="s">
        <v>416</v>
      </c>
      <c r="L1529" s="25"/>
    </row>
    <row r="1530" hidden="1" customHeight="1" spans="1:12">
      <c r="A1530" s="14" t="str">
        <f t="shared" si="30"/>
        <v>0x00000348</v>
      </c>
      <c r="B1530" s="15">
        <f>SUM_HEX(C1529:F1529,B1529,3)</f>
        <v>840</v>
      </c>
      <c r="C1530" s="16" t="s">
        <v>23</v>
      </c>
      <c r="D1530" s="16"/>
      <c r="E1530" s="16"/>
      <c r="F1530" s="16"/>
      <c r="G1530" s="46" t="s">
        <v>157</v>
      </c>
      <c r="H1530" s="46" t="s">
        <v>212</v>
      </c>
      <c r="I1530" s="18" t="s">
        <v>422</v>
      </c>
      <c r="J1530" s="18"/>
      <c r="K1530" s="18"/>
      <c r="L1530" s="25"/>
    </row>
    <row r="1531" hidden="1" customHeight="1" spans="1:12">
      <c r="A1531" s="14" t="str">
        <f t="shared" si="30"/>
        <v>0x0000034C</v>
      </c>
      <c r="B1531" s="15">
        <f>SUM_HEX(C1530:F1530,B1530,3)</f>
        <v>844</v>
      </c>
      <c r="C1531" s="16" t="s">
        <v>423</v>
      </c>
      <c r="D1531" s="16"/>
      <c r="E1531" s="16"/>
      <c r="F1531" s="16"/>
      <c r="G1531" s="47"/>
      <c r="H1531" s="47"/>
      <c r="I1531" s="18"/>
      <c r="J1531" s="18"/>
      <c r="K1531" s="18"/>
      <c r="L1531" s="25"/>
    </row>
    <row r="1532" hidden="1" customHeight="1" spans="1:12">
      <c r="A1532" s="14" t="str">
        <f t="shared" si="30"/>
        <v>0x00000350</v>
      </c>
      <c r="B1532" s="15">
        <f>SUM_HEX(C1531:F1531,B1531,3)</f>
        <v>848</v>
      </c>
      <c r="C1532" s="16" t="s">
        <v>23</v>
      </c>
      <c r="D1532" s="16" t="s">
        <v>23</v>
      </c>
      <c r="E1532" s="16"/>
      <c r="F1532" s="16"/>
      <c r="G1532" s="47"/>
      <c r="H1532" s="47"/>
      <c r="I1532" s="18"/>
      <c r="J1532" s="18"/>
      <c r="K1532" s="18"/>
      <c r="L1532" s="25"/>
    </row>
    <row r="1533" hidden="1" customHeight="1" spans="1:12">
      <c r="A1533" s="14" t="str">
        <f t="shared" si="30"/>
        <v>0x00000358</v>
      </c>
      <c r="B1533" s="15">
        <f>SUM_HEX(C1532:F1532,B1532,3)</f>
        <v>856</v>
      </c>
      <c r="C1533" s="16" t="s">
        <v>274</v>
      </c>
      <c r="D1533" s="16"/>
      <c r="E1533" s="16"/>
      <c r="F1533" s="16"/>
      <c r="G1533" s="48"/>
      <c r="H1533" s="48"/>
      <c r="I1533" s="18"/>
      <c r="J1533" s="18"/>
      <c r="K1533" s="18"/>
      <c r="L1533" s="25"/>
    </row>
    <row r="1534" hidden="1" customHeight="1" spans="1:12">
      <c r="A1534" s="14" t="str">
        <f t="shared" si="30"/>
        <v>0x0000035C</v>
      </c>
      <c r="B1534" s="15">
        <f>SUM_HEX(C1533:F1533,B1533,3)</f>
        <v>860</v>
      </c>
      <c r="C1534" s="16" t="s">
        <v>23</v>
      </c>
      <c r="D1534" s="16"/>
      <c r="E1534" s="16"/>
      <c r="F1534" s="16"/>
      <c r="G1534" s="46" t="s">
        <v>157</v>
      </c>
      <c r="H1534" s="46" t="s">
        <v>212</v>
      </c>
      <c r="I1534" s="18" t="s">
        <v>424</v>
      </c>
      <c r="J1534" s="18"/>
      <c r="K1534" s="18"/>
      <c r="L1534" s="25"/>
    </row>
    <row r="1535" hidden="1" customHeight="1" spans="1:12">
      <c r="A1535" s="14" t="str">
        <f t="shared" si="30"/>
        <v>0x00000360</v>
      </c>
      <c r="B1535" s="15">
        <f>SUM_HEX(C1534:F1534,B1534,3)</f>
        <v>864</v>
      </c>
      <c r="C1535" s="16" t="s">
        <v>425</v>
      </c>
      <c r="D1535" s="16"/>
      <c r="E1535" s="16"/>
      <c r="F1535" s="16"/>
      <c r="G1535" s="47"/>
      <c r="H1535" s="47"/>
      <c r="I1535" s="18"/>
      <c r="J1535" s="18"/>
      <c r="K1535" s="18"/>
      <c r="L1535" s="25"/>
    </row>
    <row r="1536" hidden="1" customHeight="1" spans="1:12">
      <c r="A1536" s="14" t="str">
        <f t="shared" si="30"/>
        <v>0x00000364</v>
      </c>
      <c r="B1536" s="15">
        <f>SUM_HEX(C1535:F1535,B1535,3)</f>
        <v>868</v>
      </c>
      <c r="C1536" s="16" t="s">
        <v>23</v>
      </c>
      <c r="D1536" s="16" t="s">
        <v>23</v>
      </c>
      <c r="E1536" s="16"/>
      <c r="F1536" s="16"/>
      <c r="G1536" s="47"/>
      <c r="H1536" s="47"/>
      <c r="I1536" s="18"/>
      <c r="J1536" s="18"/>
      <c r="K1536" s="18"/>
      <c r="L1536" s="25"/>
    </row>
    <row r="1537" hidden="1" customHeight="1" spans="1:12">
      <c r="A1537" s="14" t="str">
        <f t="shared" si="30"/>
        <v>0x0000036C</v>
      </c>
      <c r="B1537" s="15">
        <f>SUM_HEX(C1536:F1536,B1536,3)</f>
        <v>876</v>
      </c>
      <c r="C1537" s="16" t="s">
        <v>274</v>
      </c>
      <c r="D1537" s="16"/>
      <c r="E1537" s="16"/>
      <c r="F1537" s="16"/>
      <c r="G1537" s="48"/>
      <c r="H1537" s="48"/>
      <c r="I1537" s="18"/>
      <c r="J1537" s="18"/>
      <c r="K1537" s="18"/>
      <c r="L1537" s="25"/>
    </row>
    <row r="1538" hidden="1" customHeight="1" spans="1:12">
      <c r="A1538" s="14" t="str">
        <f t="shared" si="30"/>
        <v>0x00000370</v>
      </c>
      <c r="B1538" s="15">
        <f>SUM_HEX(C1537:F1537,B1537,3)</f>
        <v>880</v>
      </c>
      <c r="C1538" s="16" t="s">
        <v>23</v>
      </c>
      <c r="D1538" s="16"/>
      <c r="E1538" s="16"/>
      <c r="F1538" s="16"/>
      <c r="G1538" s="18" t="s">
        <v>15</v>
      </c>
      <c r="H1538" s="18"/>
      <c r="I1538" s="24" t="s">
        <v>426</v>
      </c>
      <c r="J1538" s="18"/>
      <c r="K1538" s="18" t="s">
        <v>416</v>
      </c>
      <c r="L1538" s="25"/>
    </row>
    <row r="1539" hidden="1" customHeight="1" spans="1:12">
      <c r="A1539" s="14" t="str">
        <f t="shared" si="30"/>
        <v>0x00000374</v>
      </c>
      <c r="B1539" s="15">
        <f>SUM_HEX(C1538:F1538,B1538,3)</f>
        <v>884</v>
      </c>
      <c r="C1539" s="16" t="s">
        <v>23</v>
      </c>
      <c r="D1539" s="16"/>
      <c r="E1539" s="16"/>
      <c r="F1539" s="16"/>
      <c r="G1539" s="46" t="s">
        <v>157</v>
      </c>
      <c r="H1539" s="46" t="s">
        <v>212</v>
      </c>
      <c r="I1539" s="18" t="s">
        <v>427</v>
      </c>
      <c r="J1539" s="18"/>
      <c r="K1539" s="18"/>
      <c r="L1539" s="25"/>
    </row>
    <row r="1540" hidden="1" customHeight="1" spans="1:12">
      <c r="A1540" s="14" t="str">
        <f t="shared" si="30"/>
        <v>0x00000378</v>
      </c>
      <c r="B1540" s="15">
        <f>SUM_HEX(C1539:F1539,B1539,3)</f>
        <v>888</v>
      </c>
      <c r="C1540" s="16" t="s">
        <v>428</v>
      </c>
      <c r="D1540" s="16"/>
      <c r="E1540" s="16"/>
      <c r="F1540" s="16"/>
      <c r="G1540" s="47"/>
      <c r="H1540" s="47"/>
      <c r="I1540" s="18"/>
      <c r="J1540" s="18"/>
      <c r="K1540" s="18"/>
      <c r="L1540" s="25"/>
    </row>
    <row r="1541" hidden="1" customHeight="1" spans="1:12">
      <c r="A1541" s="14" t="str">
        <f t="shared" si="30"/>
        <v>0x0000037C</v>
      </c>
      <c r="B1541" s="15">
        <f>SUM_HEX(C1540:F1540,B1540,3)</f>
        <v>892</v>
      </c>
      <c r="C1541" s="16" t="s">
        <v>23</v>
      </c>
      <c r="D1541" s="16" t="s">
        <v>23</v>
      </c>
      <c r="E1541" s="16"/>
      <c r="F1541" s="16"/>
      <c r="G1541" s="47"/>
      <c r="H1541" s="47"/>
      <c r="I1541" s="18"/>
      <c r="J1541" s="18"/>
      <c r="K1541" s="18"/>
      <c r="L1541" s="25"/>
    </row>
    <row r="1542" hidden="1" customHeight="1" spans="1:12">
      <c r="A1542" s="14" t="str">
        <f t="shared" si="30"/>
        <v>0x00000384</v>
      </c>
      <c r="B1542" s="15">
        <f>SUM_HEX(C1541:F1541,B1541,3)</f>
        <v>900</v>
      </c>
      <c r="C1542" s="16" t="s">
        <v>274</v>
      </c>
      <c r="D1542" s="16"/>
      <c r="E1542" s="16"/>
      <c r="F1542" s="16"/>
      <c r="G1542" s="48"/>
      <c r="H1542" s="48"/>
      <c r="I1542" s="18"/>
      <c r="J1542" s="18"/>
      <c r="K1542" s="18"/>
      <c r="L1542" s="25"/>
    </row>
    <row r="1543" hidden="1" customHeight="1" spans="1:12">
      <c r="A1543" s="14" t="str">
        <f t="shared" si="30"/>
        <v>0x00000388</v>
      </c>
      <c r="B1543" s="15">
        <f>SUM_HEX(C1542:F1542,B1542,3)</f>
        <v>904</v>
      </c>
      <c r="C1543" s="16" t="s">
        <v>23</v>
      </c>
      <c r="D1543" s="16"/>
      <c r="E1543" s="16"/>
      <c r="F1543" s="16"/>
      <c r="G1543" s="46" t="s">
        <v>157</v>
      </c>
      <c r="H1543" s="46" t="s">
        <v>212</v>
      </c>
      <c r="I1543" s="18" t="s">
        <v>429</v>
      </c>
      <c r="J1543" s="18"/>
      <c r="K1543" s="18"/>
      <c r="L1543" s="25"/>
    </row>
    <row r="1544" hidden="1" customHeight="1" spans="1:12">
      <c r="A1544" s="14" t="str">
        <f t="shared" si="30"/>
        <v>0x0000038C</v>
      </c>
      <c r="B1544" s="15">
        <f>SUM_HEX(C1543:F1543,B1543,3)</f>
        <v>908</v>
      </c>
      <c r="C1544" s="16" t="s">
        <v>430</v>
      </c>
      <c r="D1544" s="16"/>
      <c r="E1544" s="16"/>
      <c r="F1544" s="16"/>
      <c r="G1544" s="47"/>
      <c r="H1544" s="47"/>
      <c r="I1544" s="18"/>
      <c r="J1544" s="18"/>
      <c r="K1544" s="18"/>
      <c r="L1544" s="25"/>
    </row>
    <row r="1545" hidden="1" customHeight="1" spans="1:12">
      <c r="A1545" s="14" t="str">
        <f t="shared" si="30"/>
        <v>0x00000390</v>
      </c>
      <c r="B1545" s="15">
        <f>SUM_HEX(C1544:F1544,B1544,3)</f>
        <v>912</v>
      </c>
      <c r="C1545" s="16" t="s">
        <v>23</v>
      </c>
      <c r="D1545" s="16" t="s">
        <v>23</v>
      </c>
      <c r="E1545" s="16"/>
      <c r="F1545" s="16"/>
      <c r="G1545" s="47"/>
      <c r="H1545" s="47"/>
      <c r="I1545" s="18"/>
      <c r="J1545" s="18"/>
      <c r="K1545" s="18"/>
      <c r="L1545" s="25"/>
    </row>
    <row r="1546" hidden="1" customHeight="1" spans="1:12">
      <c r="A1546" s="14" t="str">
        <f t="shared" si="30"/>
        <v>0x00000398</v>
      </c>
      <c r="B1546" s="15">
        <f>SUM_HEX(C1545:F1545,B1545,3)</f>
        <v>920</v>
      </c>
      <c r="C1546" s="16" t="s">
        <v>274</v>
      </c>
      <c r="D1546" s="16"/>
      <c r="E1546" s="16"/>
      <c r="F1546" s="16"/>
      <c r="G1546" s="48"/>
      <c r="H1546" s="48"/>
      <c r="I1546" s="18"/>
      <c r="J1546" s="18"/>
      <c r="K1546" s="18"/>
      <c r="L1546" s="25"/>
    </row>
    <row r="1547" hidden="1" customHeight="1" spans="1:12">
      <c r="A1547" s="14" t="str">
        <f t="shared" si="30"/>
        <v>0x0000039C</v>
      </c>
      <c r="B1547" s="15">
        <f>SUM_HEX(C1546:F1546,B1546,3)</f>
        <v>924</v>
      </c>
      <c r="C1547" s="16" t="s">
        <v>23</v>
      </c>
      <c r="D1547" s="16"/>
      <c r="E1547" s="16"/>
      <c r="F1547" s="16"/>
      <c r="G1547" s="18" t="s">
        <v>15</v>
      </c>
      <c r="H1547" s="18"/>
      <c r="I1547" s="24" t="s">
        <v>431</v>
      </c>
      <c r="J1547" s="18"/>
      <c r="K1547" s="18" t="s">
        <v>416</v>
      </c>
      <c r="L1547" s="25"/>
    </row>
    <row r="1548" hidden="1" customHeight="1" spans="1:12">
      <c r="A1548" s="14" t="str">
        <f t="shared" si="30"/>
        <v>0x000003A0</v>
      </c>
      <c r="B1548" s="15">
        <f>SUM_HEX(C1547:F1547,B1547,3)</f>
        <v>928</v>
      </c>
      <c r="C1548" s="16" t="s">
        <v>23</v>
      </c>
      <c r="D1548" s="16"/>
      <c r="E1548" s="16"/>
      <c r="F1548" s="16"/>
      <c r="G1548" s="46" t="s">
        <v>157</v>
      </c>
      <c r="H1548" s="46" t="s">
        <v>212</v>
      </c>
      <c r="I1548" s="18" t="s">
        <v>432</v>
      </c>
      <c r="J1548" s="18"/>
      <c r="K1548" s="18"/>
      <c r="L1548" s="25"/>
    </row>
    <row r="1549" hidden="1" customHeight="1" spans="1:12">
      <c r="A1549" s="14" t="str">
        <f t="shared" si="30"/>
        <v>0x000003A4</v>
      </c>
      <c r="B1549" s="15">
        <f>SUM_HEX(C1548:F1548,B1548,3)</f>
        <v>932</v>
      </c>
      <c r="C1549" s="16" t="s">
        <v>433</v>
      </c>
      <c r="D1549" s="16"/>
      <c r="E1549" s="16"/>
      <c r="F1549" s="16"/>
      <c r="G1549" s="47"/>
      <c r="H1549" s="47"/>
      <c r="I1549" s="18"/>
      <c r="J1549" s="18"/>
      <c r="K1549" s="18"/>
      <c r="L1549" s="25"/>
    </row>
    <row r="1550" hidden="1" customHeight="1" spans="1:12">
      <c r="A1550" s="14" t="str">
        <f t="shared" si="30"/>
        <v>0x000003A8</v>
      </c>
      <c r="B1550" s="15">
        <f>SUM_HEX(C1549:F1549,B1549,3)</f>
        <v>936</v>
      </c>
      <c r="C1550" s="16" t="s">
        <v>23</v>
      </c>
      <c r="D1550" s="16" t="s">
        <v>23</v>
      </c>
      <c r="E1550" s="16"/>
      <c r="F1550" s="16"/>
      <c r="G1550" s="47"/>
      <c r="H1550" s="47"/>
      <c r="I1550" s="18"/>
      <c r="J1550" s="18"/>
      <c r="K1550" s="18"/>
      <c r="L1550" s="25"/>
    </row>
    <row r="1551" hidden="1" customHeight="1" spans="1:12">
      <c r="A1551" s="14" t="str">
        <f t="shared" si="30"/>
        <v>0x000003B0</v>
      </c>
      <c r="B1551" s="15">
        <f>SUM_HEX(C1550:F1550,B1550,3)</f>
        <v>944</v>
      </c>
      <c r="C1551" s="16" t="s">
        <v>274</v>
      </c>
      <c r="D1551" s="16"/>
      <c r="E1551" s="16"/>
      <c r="F1551" s="16"/>
      <c r="G1551" s="48"/>
      <c r="H1551" s="48"/>
      <c r="I1551" s="18"/>
      <c r="J1551" s="18"/>
      <c r="K1551" s="18"/>
      <c r="L1551" s="25"/>
    </row>
    <row r="1552" hidden="1" customHeight="1" spans="1:12">
      <c r="A1552" s="14" t="str">
        <f t="shared" si="30"/>
        <v>0x000003B4</v>
      </c>
      <c r="B1552" s="15">
        <f>SUM_HEX(C1551:F1551,B1551,3)</f>
        <v>948</v>
      </c>
      <c r="C1552" s="16" t="s">
        <v>23</v>
      </c>
      <c r="D1552" s="16"/>
      <c r="E1552" s="16"/>
      <c r="F1552" s="16"/>
      <c r="G1552" s="46" t="s">
        <v>157</v>
      </c>
      <c r="H1552" s="46" t="s">
        <v>212</v>
      </c>
      <c r="I1552" s="18" t="s">
        <v>434</v>
      </c>
      <c r="J1552" s="18"/>
      <c r="K1552" s="18"/>
      <c r="L1552" s="25"/>
    </row>
    <row r="1553" hidden="1" customHeight="1" spans="1:12">
      <c r="A1553" s="14" t="str">
        <f t="shared" si="30"/>
        <v>0x000003B8</v>
      </c>
      <c r="B1553" s="15">
        <f>SUM_HEX(C1552:F1552,B1552,3)</f>
        <v>952</v>
      </c>
      <c r="C1553" s="16" t="s">
        <v>435</v>
      </c>
      <c r="D1553" s="16"/>
      <c r="E1553" s="16"/>
      <c r="F1553" s="16"/>
      <c r="G1553" s="47"/>
      <c r="H1553" s="47"/>
      <c r="I1553" s="18"/>
      <c r="J1553" s="18"/>
      <c r="K1553" s="18"/>
      <c r="L1553" s="25"/>
    </row>
    <row r="1554" hidden="1" customHeight="1" spans="1:12">
      <c r="A1554" s="14" t="str">
        <f t="shared" si="30"/>
        <v>0x000003BC</v>
      </c>
      <c r="B1554" s="15">
        <f>SUM_HEX(C1553:F1553,B1553,3)</f>
        <v>956</v>
      </c>
      <c r="C1554" s="16" t="s">
        <v>23</v>
      </c>
      <c r="D1554" s="16" t="s">
        <v>23</v>
      </c>
      <c r="E1554" s="16"/>
      <c r="F1554" s="16"/>
      <c r="G1554" s="47"/>
      <c r="H1554" s="47"/>
      <c r="I1554" s="18"/>
      <c r="J1554" s="18"/>
      <c r="K1554" s="18"/>
      <c r="L1554" s="25"/>
    </row>
    <row r="1555" hidden="1" customHeight="1" spans="1:12">
      <c r="A1555" s="14" t="str">
        <f t="shared" si="30"/>
        <v>0x000003C4</v>
      </c>
      <c r="B1555" s="15">
        <f>SUM_HEX(C1554:F1554,B1554,3)</f>
        <v>964</v>
      </c>
      <c r="C1555" s="16" t="s">
        <v>274</v>
      </c>
      <c r="D1555" s="16"/>
      <c r="E1555" s="16"/>
      <c r="F1555" s="16"/>
      <c r="G1555" s="48"/>
      <c r="H1555" s="48"/>
      <c r="I1555" s="18"/>
      <c r="J1555" s="18"/>
      <c r="K1555" s="18"/>
      <c r="L1555" s="25"/>
    </row>
    <row r="1556" hidden="1" customHeight="1" spans="1:12">
      <c r="A1556" s="14" t="str">
        <f t="shared" si="30"/>
        <v>0x000003C8</v>
      </c>
      <c r="B1556" s="15">
        <f>SUM_HEX(C1555:F1555,B1555,3)</f>
        <v>968</v>
      </c>
      <c r="C1556" s="16" t="s">
        <v>23</v>
      </c>
      <c r="D1556" s="16"/>
      <c r="E1556" s="16"/>
      <c r="F1556" s="16"/>
      <c r="G1556" s="18" t="s">
        <v>15</v>
      </c>
      <c r="H1556" s="18"/>
      <c r="I1556" s="24" t="s">
        <v>436</v>
      </c>
      <c r="J1556" s="18"/>
      <c r="K1556" s="18" t="s">
        <v>416</v>
      </c>
      <c r="L1556" s="25"/>
    </row>
    <row r="1557" hidden="1" customHeight="1" spans="1:12">
      <c r="A1557" s="14" t="str">
        <f t="shared" si="30"/>
        <v>0x000003CC</v>
      </c>
      <c r="B1557" s="15">
        <f>SUM_HEX(C1556:F1556,B1556,3)</f>
        <v>972</v>
      </c>
      <c r="C1557" s="16" t="s">
        <v>23</v>
      </c>
      <c r="D1557" s="16"/>
      <c r="E1557" s="16"/>
      <c r="F1557" s="16"/>
      <c r="G1557" s="46" t="s">
        <v>157</v>
      </c>
      <c r="H1557" s="46" t="s">
        <v>212</v>
      </c>
      <c r="I1557" s="18" t="s">
        <v>437</v>
      </c>
      <c r="J1557" s="18"/>
      <c r="K1557" s="18"/>
      <c r="L1557" s="25"/>
    </row>
    <row r="1558" hidden="1" customHeight="1" spans="1:12">
      <c r="A1558" s="14" t="str">
        <f t="shared" si="30"/>
        <v>0x000003D0</v>
      </c>
      <c r="B1558" s="15">
        <f>SUM_HEX(C1557:F1557,B1557,3)</f>
        <v>976</v>
      </c>
      <c r="C1558" s="16" t="s">
        <v>438</v>
      </c>
      <c r="D1558" s="16"/>
      <c r="E1558" s="16"/>
      <c r="F1558" s="16"/>
      <c r="G1558" s="47"/>
      <c r="H1558" s="47"/>
      <c r="I1558" s="18"/>
      <c r="J1558" s="18"/>
      <c r="K1558" s="18"/>
      <c r="L1558" s="25"/>
    </row>
    <row r="1559" hidden="1" customHeight="1" spans="1:12">
      <c r="A1559" s="14" t="str">
        <f t="shared" ref="A1559:A1609" si="31">"0x"&amp;DEC2HEX(B1559,8)</f>
        <v>0x000003D4</v>
      </c>
      <c r="B1559" s="15">
        <f>SUM_HEX(C1558:F1558,B1558,3)</f>
        <v>980</v>
      </c>
      <c r="C1559" s="16" t="s">
        <v>23</v>
      </c>
      <c r="D1559" s="16" t="s">
        <v>23</v>
      </c>
      <c r="E1559" s="16"/>
      <c r="F1559" s="16"/>
      <c r="G1559" s="47"/>
      <c r="H1559" s="47"/>
      <c r="I1559" s="18"/>
      <c r="J1559" s="18"/>
      <c r="K1559" s="18"/>
      <c r="L1559" s="25"/>
    </row>
    <row r="1560" hidden="1" customHeight="1" spans="1:12">
      <c r="A1560" s="14" t="str">
        <f t="shared" si="31"/>
        <v>0x000003DC</v>
      </c>
      <c r="B1560" s="15">
        <f>SUM_HEX(C1559:F1559,B1559,3)</f>
        <v>988</v>
      </c>
      <c r="C1560" s="16" t="s">
        <v>274</v>
      </c>
      <c r="D1560" s="16"/>
      <c r="E1560" s="16"/>
      <c r="F1560" s="16"/>
      <c r="G1560" s="48"/>
      <c r="H1560" s="48"/>
      <c r="I1560" s="18"/>
      <c r="J1560" s="18"/>
      <c r="K1560" s="18"/>
      <c r="L1560" s="25"/>
    </row>
    <row r="1561" hidden="1" customHeight="1" spans="1:12">
      <c r="A1561" s="14" t="str">
        <f t="shared" si="31"/>
        <v>0x000003E0</v>
      </c>
      <c r="B1561" s="15">
        <f>SUM_HEX(C1560:F1560,B1560,3)</f>
        <v>992</v>
      </c>
      <c r="C1561" s="16" t="s">
        <v>23</v>
      </c>
      <c r="D1561" s="16"/>
      <c r="E1561" s="16"/>
      <c r="F1561" s="16"/>
      <c r="G1561" s="46" t="s">
        <v>157</v>
      </c>
      <c r="H1561" s="46" t="s">
        <v>212</v>
      </c>
      <c r="I1561" s="18" t="s">
        <v>439</v>
      </c>
      <c r="J1561" s="18"/>
      <c r="K1561" s="18"/>
      <c r="L1561" s="25"/>
    </row>
    <row r="1562" hidden="1" customHeight="1" spans="1:12">
      <c r="A1562" s="14" t="str">
        <f t="shared" si="31"/>
        <v>0x000003E4</v>
      </c>
      <c r="B1562" s="15">
        <f>SUM_HEX(C1561:F1561,B1561,3)</f>
        <v>996</v>
      </c>
      <c r="C1562" s="16" t="s">
        <v>440</v>
      </c>
      <c r="D1562" s="16"/>
      <c r="E1562" s="16"/>
      <c r="F1562" s="16"/>
      <c r="G1562" s="47"/>
      <c r="H1562" s="47"/>
      <c r="I1562" s="18"/>
      <c r="J1562" s="18"/>
      <c r="K1562" s="18"/>
      <c r="L1562" s="25"/>
    </row>
    <row r="1563" hidden="1" customHeight="1" spans="1:12">
      <c r="A1563" s="14" t="str">
        <f t="shared" si="31"/>
        <v>0x000003E8</v>
      </c>
      <c r="B1563" s="15">
        <f>SUM_HEX(C1562:F1562,B1562,3)</f>
        <v>1000</v>
      </c>
      <c r="C1563" s="16" t="s">
        <v>23</v>
      </c>
      <c r="D1563" s="16" t="s">
        <v>23</v>
      </c>
      <c r="E1563" s="16"/>
      <c r="F1563" s="16"/>
      <c r="G1563" s="47"/>
      <c r="H1563" s="47"/>
      <c r="I1563" s="18"/>
      <c r="J1563" s="18"/>
      <c r="K1563" s="18"/>
      <c r="L1563" s="25"/>
    </row>
    <row r="1564" hidden="1" customHeight="1" spans="1:12">
      <c r="A1564" s="14" t="str">
        <f t="shared" si="31"/>
        <v>0x000003F0</v>
      </c>
      <c r="B1564" s="15">
        <f>SUM_HEX(C1563:F1563,B1563,3)</f>
        <v>1008</v>
      </c>
      <c r="C1564" s="16" t="s">
        <v>274</v>
      </c>
      <c r="D1564" s="16"/>
      <c r="E1564" s="16"/>
      <c r="F1564" s="16"/>
      <c r="G1564" s="48"/>
      <c r="H1564" s="48"/>
      <c r="I1564" s="18"/>
      <c r="J1564" s="18"/>
      <c r="K1564" s="18"/>
      <c r="L1564" s="25"/>
    </row>
    <row r="1565" hidden="1" customHeight="1" spans="1:12">
      <c r="A1565" s="14" t="str">
        <f t="shared" si="31"/>
        <v>0x000003F4</v>
      </c>
      <c r="B1565" s="15">
        <f>SUM_HEX(C1564:F1564,B1564,3)</f>
        <v>1012</v>
      </c>
      <c r="C1565" s="16" t="s">
        <v>23</v>
      </c>
      <c r="D1565" s="16"/>
      <c r="E1565" s="16"/>
      <c r="F1565" s="16"/>
      <c r="G1565" s="18" t="s">
        <v>15</v>
      </c>
      <c r="H1565" s="18"/>
      <c r="I1565" s="24"/>
      <c r="J1565" s="18"/>
      <c r="K1565" s="18"/>
      <c r="L1565" s="25"/>
    </row>
    <row r="1566" hidden="1" customHeight="1" spans="1:12">
      <c r="A1566" s="14" t="str">
        <f t="shared" si="31"/>
        <v>0x000003F8</v>
      </c>
      <c r="B1566" s="15">
        <f>SUM_HEX(C1565:F1565,B1565,3)</f>
        <v>1016</v>
      </c>
      <c r="C1566" s="16" t="s">
        <v>23</v>
      </c>
      <c r="D1566" s="16"/>
      <c r="E1566" s="16"/>
      <c r="F1566" s="16"/>
      <c r="G1566" s="46" t="s">
        <v>157</v>
      </c>
      <c r="H1566" s="46"/>
      <c r="I1566" s="18"/>
      <c r="J1566" s="18"/>
      <c r="K1566" s="18"/>
      <c r="L1566" s="25"/>
    </row>
    <row r="1567" hidden="1" customHeight="1" spans="1:12">
      <c r="A1567" s="14" t="str">
        <f t="shared" si="31"/>
        <v>0x000003FC</v>
      </c>
      <c r="B1567" s="15">
        <f>SUM_HEX(C1566:F1566,B1566,3)</f>
        <v>1020</v>
      </c>
      <c r="C1567" s="16" t="s">
        <v>441</v>
      </c>
      <c r="D1567" s="16"/>
      <c r="E1567" s="16"/>
      <c r="F1567" s="16"/>
      <c r="G1567" s="47"/>
      <c r="H1567" s="47"/>
      <c r="I1567" s="18"/>
      <c r="J1567" s="18"/>
      <c r="K1567" s="18"/>
      <c r="L1567" s="25"/>
    </row>
    <row r="1568" hidden="1" customHeight="1" spans="1:12">
      <c r="A1568" s="14" t="str">
        <f t="shared" si="31"/>
        <v>0x00000400</v>
      </c>
      <c r="B1568" s="15">
        <f>SUM_HEX(C1567:F1567,B1567,3)</f>
        <v>1024</v>
      </c>
      <c r="C1568" s="16" t="s">
        <v>23</v>
      </c>
      <c r="D1568" s="16" t="s">
        <v>23</v>
      </c>
      <c r="E1568" s="16"/>
      <c r="F1568" s="16"/>
      <c r="G1568" s="47"/>
      <c r="H1568" s="47"/>
      <c r="I1568" s="18"/>
      <c r="J1568" s="18"/>
      <c r="K1568" s="18"/>
      <c r="L1568" s="25"/>
    </row>
    <row r="1569" hidden="1" customHeight="1" spans="1:12">
      <c r="A1569" s="14" t="str">
        <f t="shared" si="31"/>
        <v>0x00000408</v>
      </c>
      <c r="B1569" s="15">
        <f>SUM_HEX(C1568:F1568,B1568,3)</f>
        <v>1032</v>
      </c>
      <c r="C1569" s="16" t="s">
        <v>274</v>
      </c>
      <c r="D1569" s="16"/>
      <c r="E1569" s="16"/>
      <c r="F1569" s="16"/>
      <c r="G1569" s="48"/>
      <c r="H1569" s="48"/>
      <c r="I1569" s="18"/>
      <c r="J1569" s="18"/>
      <c r="K1569" s="18"/>
      <c r="L1569" s="25"/>
    </row>
    <row r="1570" hidden="1" customHeight="1" spans="1:12">
      <c r="A1570" s="14" t="str">
        <f t="shared" si="31"/>
        <v>0x0000040C</v>
      </c>
      <c r="B1570" s="15">
        <f>SUM_HEX(C1569:F1569,B1569,3)</f>
        <v>1036</v>
      </c>
      <c r="C1570" s="16" t="s">
        <v>23</v>
      </c>
      <c r="D1570" s="16"/>
      <c r="E1570" s="16"/>
      <c r="F1570" s="16"/>
      <c r="G1570" s="46" t="s">
        <v>157</v>
      </c>
      <c r="H1570" s="46"/>
      <c r="I1570" s="18"/>
      <c r="J1570" s="18"/>
      <c r="K1570" s="18"/>
      <c r="L1570" s="25"/>
    </row>
    <row r="1571" hidden="1" customHeight="1" spans="1:12">
      <c r="A1571" s="14" t="str">
        <f t="shared" si="31"/>
        <v>0x00000410</v>
      </c>
      <c r="B1571" s="15">
        <f>SUM_HEX(C1570:F1570,B1570,3)</f>
        <v>1040</v>
      </c>
      <c r="C1571" s="16" t="s">
        <v>442</v>
      </c>
      <c r="D1571" s="16"/>
      <c r="E1571" s="16"/>
      <c r="F1571" s="16"/>
      <c r="G1571" s="47"/>
      <c r="H1571" s="47"/>
      <c r="I1571" s="18"/>
      <c r="J1571" s="18"/>
      <c r="K1571" s="18"/>
      <c r="L1571" s="25"/>
    </row>
    <row r="1572" hidden="1" customHeight="1" spans="1:12">
      <c r="A1572" s="14" t="str">
        <f t="shared" si="31"/>
        <v>0x00000414</v>
      </c>
      <c r="B1572" s="15">
        <f>SUM_HEX(C1571:F1571,B1571,3)</f>
        <v>1044</v>
      </c>
      <c r="C1572" s="16" t="s">
        <v>23</v>
      </c>
      <c r="D1572" s="16" t="s">
        <v>23</v>
      </c>
      <c r="E1572" s="16"/>
      <c r="F1572" s="16"/>
      <c r="G1572" s="47"/>
      <c r="H1572" s="47"/>
      <c r="I1572" s="18"/>
      <c r="J1572" s="18"/>
      <c r="K1572" s="18"/>
      <c r="L1572" s="25"/>
    </row>
    <row r="1573" hidden="1" customHeight="1" spans="1:12">
      <c r="A1573" s="14" t="str">
        <f t="shared" si="31"/>
        <v>0x0000041C</v>
      </c>
      <c r="B1573" s="15">
        <f>SUM_HEX(C1572:F1572,B1572,3)</f>
        <v>1052</v>
      </c>
      <c r="C1573" s="16" t="s">
        <v>274</v>
      </c>
      <c r="D1573" s="16"/>
      <c r="E1573" s="16"/>
      <c r="F1573" s="16"/>
      <c r="G1573" s="48"/>
      <c r="H1573" s="48"/>
      <c r="I1573" s="18"/>
      <c r="J1573" s="18"/>
      <c r="K1573" s="18"/>
      <c r="L1573" s="25"/>
    </row>
    <row r="1574" hidden="1" customHeight="1" spans="1:12">
      <c r="A1574" s="14" t="str">
        <f t="shared" si="31"/>
        <v>0x00000420</v>
      </c>
      <c r="B1574" s="15">
        <f>SUM_HEX(C1573:F1573,B1573,3)</f>
        <v>1056</v>
      </c>
      <c r="C1574" s="16" t="s">
        <v>23</v>
      </c>
      <c r="D1574" s="16"/>
      <c r="E1574" s="16"/>
      <c r="F1574" s="16"/>
      <c r="G1574" s="18" t="s">
        <v>15</v>
      </c>
      <c r="H1574" s="18"/>
      <c r="I1574" s="24" t="s">
        <v>443</v>
      </c>
      <c r="J1574" s="18"/>
      <c r="K1574" s="18" t="s">
        <v>416</v>
      </c>
      <c r="L1574" s="25"/>
    </row>
    <row r="1575" hidden="1" customHeight="1" spans="1:12">
      <c r="A1575" s="14" t="str">
        <f t="shared" si="31"/>
        <v>0x00000424</v>
      </c>
      <c r="B1575" s="15">
        <f>SUM_HEX(C1574:F1574,B1574,3)</f>
        <v>1060</v>
      </c>
      <c r="C1575" s="16" t="s">
        <v>23</v>
      </c>
      <c r="D1575" s="16"/>
      <c r="E1575" s="16"/>
      <c r="F1575" s="16"/>
      <c r="G1575" s="46" t="s">
        <v>157</v>
      </c>
      <c r="H1575" s="46" t="s">
        <v>212</v>
      </c>
      <c r="I1575" s="18" t="s">
        <v>444</v>
      </c>
      <c r="J1575" s="18"/>
      <c r="K1575" s="18"/>
      <c r="L1575" s="25"/>
    </row>
    <row r="1576" hidden="1" customHeight="1" spans="1:12">
      <c r="A1576" s="14" t="str">
        <f t="shared" si="31"/>
        <v>0x00000428</v>
      </c>
      <c r="B1576" s="15">
        <f>SUM_HEX(C1575:F1575,B1575,3)</f>
        <v>1064</v>
      </c>
      <c r="C1576" s="16" t="s">
        <v>445</v>
      </c>
      <c r="D1576" s="16"/>
      <c r="E1576" s="16"/>
      <c r="F1576" s="16"/>
      <c r="G1576" s="47"/>
      <c r="H1576" s="47"/>
      <c r="I1576" s="18"/>
      <c r="J1576" s="18"/>
      <c r="K1576" s="18"/>
      <c r="L1576" s="25"/>
    </row>
    <row r="1577" hidden="1" customHeight="1" spans="1:12">
      <c r="A1577" s="14" t="str">
        <f t="shared" si="31"/>
        <v>0x0000042C</v>
      </c>
      <c r="B1577" s="15">
        <f>SUM_HEX(C1576:F1576,B1576,3)</f>
        <v>1068</v>
      </c>
      <c r="C1577" s="16" t="s">
        <v>23</v>
      </c>
      <c r="D1577" s="16" t="s">
        <v>23</v>
      </c>
      <c r="E1577" s="16"/>
      <c r="F1577" s="16"/>
      <c r="G1577" s="47"/>
      <c r="H1577" s="47"/>
      <c r="I1577" s="18"/>
      <c r="J1577" s="18"/>
      <c r="K1577" s="18"/>
      <c r="L1577" s="25"/>
    </row>
    <row r="1578" hidden="1" customHeight="1" spans="1:12">
      <c r="A1578" s="14" t="str">
        <f t="shared" si="31"/>
        <v>0x00000434</v>
      </c>
      <c r="B1578" s="15">
        <f>SUM_HEX(C1577:F1577,B1577,3)</f>
        <v>1076</v>
      </c>
      <c r="C1578" s="16" t="s">
        <v>274</v>
      </c>
      <c r="D1578" s="16"/>
      <c r="E1578" s="16"/>
      <c r="F1578" s="16"/>
      <c r="G1578" s="48"/>
      <c r="H1578" s="48"/>
      <c r="I1578" s="18"/>
      <c r="J1578" s="18"/>
      <c r="K1578" s="18"/>
      <c r="L1578" s="25"/>
    </row>
    <row r="1579" hidden="1" customHeight="1" spans="1:12">
      <c r="A1579" s="14" t="str">
        <f t="shared" si="31"/>
        <v>0x00000438</v>
      </c>
      <c r="B1579" s="15">
        <f>SUM_HEX(C1578:F1578,B1578,3)</f>
        <v>1080</v>
      </c>
      <c r="C1579" s="16" t="s">
        <v>23</v>
      </c>
      <c r="D1579" s="16"/>
      <c r="E1579" s="16"/>
      <c r="F1579" s="16"/>
      <c r="G1579" s="46" t="s">
        <v>157</v>
      </c>
      <c r="H1579" s="46" t="s">
        <v>212</v>
      </c>
      <c r="I1579" s="18" t="s">
        <v>446</v>
      </c>
      <c r="J1579" s="18"/>
      <c r="K1579" s="18"/>
      <c r="L1579" s="25"/>
    </row>
    <row r="1580" hidden="1" customHeight="1" spans="1:12">
      <c r="A1580" s="14" t="str">
        <f t="shared" si="31"/>
        <v>0x0000043C</v>
      </c>
      <c r="B1580" s="15">
        <f>SUM_HEX(C1579:F1579,B1579,3)</f>
        <v>1084</v>
      </c>
      <c r="C1580" s="16" t="s">
        <v>447</v>
      </c>
      <c r="D1580" s="16"/>
      <c r="E1580" s="16"/>
      <c r="F1580" s="16"/>
      <c r="G1580" s="47"/>
      <c r="H1580" s="47"/>
      <c r="I1580" s="18"/>
      <c r="J1580" s="18"/>
      <c r="K1580" s="18"/>
      <c r="L1580" s="25"/>
    </row>
    <row r="1581" hidden="1" customHeight="1" spans="1:12">
      <c r="A1581" s="14" t="str">
        <f t="shared" si="31"/>
        <v>0x00000440</v>
      </c>
      <c r="B1581" s="15">
        <f>SUM_HEX(C1580:F1580,B1580,3)</f>
        <v>1088</v>
      </c>
      <c r="C1581" s="16" t="s">
        <v>23</v>
      </c>
      <c r="D1581" s="16" t="s">
        <v>23</v>
      </c>
      <c r="E1581" s="16"/>
      <c r="F1581" s="16"/>
      <c r="G1581" s="47"/>
      <c r="H1581" s="47"/>
      <c r="I1581" s="18"/>
      <c r="J1581" s="18"/>
      <c r="K1581" s="18"/>
      <c r="L1581" s="25"/>
    </row>
    <row r="1582" hidden="1" customHeight="1" spans="1:12">
      <c r="A1582" s="14" t="str">
        <f t="shared" si="31"/>
        <v>0x00000448</v>
      </c>
      <c r="B1582" s="15">
        <f>SUM_HEX(C1581:F1581,B1581,3)</f>
        <v>1096</v>
      </c>
      <c r="C1582" s="16" t="s">
        <v>274</v>
      </c>
      <c r="D1582" s="16"/>
      <c r="E1582" s="16"/>
      <c r="F1582" s="16"/>
      <c r="G1582" s="48"/>
      <c r="H1582" s="48"/>
      <c r="I1582" s="18"/>
      <c r="J1582" s="18"/>
      <c r="K1582" s="18"/>
      <c r="L1582" s="25"/>
    </row>
    <row r="1583" hidden="1" customHeight="1" spans="1:12">
      <c r="A1583" s="14" t="str">
        <f t="shared" si="31"/>
        <v>0x0000044C</v>
      </c>
      <c r="B1583" s="15">
        <f>SUM_HEX(C1582:F1582,B1582,3)</f>
        <v>1100</v>
      </c>
      <c r="C1583" s="16" t="s">
        <v>23</v>
      </c>
      <c r="D1583" s="16"/>
      <c r="E1583" s="16"/>
      <c r="F1583" s="16"/>
      <c r="G1583" s="18" t="s">
        <v>15</v>
      </c>
      <c r="H1583" s="18"/>
      <c r="I1583" s="24" t="s">
        <v>448</v>
      </c>
      <c r="J1583" s="18"/>
      <c r="K1583" s="18" t="s">
        <v>416</v>
      </c>
      <c r="L1583" s="25"/>
    </row>
    <row r="1584" hidden="1" customHeight="1" spans="1:12">
      <c r="A1584" s="14" t="str">
        <f t="shared" si="31"/>
        <v>0x00000450</v>
      </c>
      <c r="B1584" s="15">
        <f>SUM_HEX(C1583:F1583,B1583,3)</f>
        <v>1104</v>
      </c>
      <c r="C1584" s="16" t="s">
        <v>23</v>
      </c>
      <c r="D1584" s="16"/>
      <c r="E1584" s="16"/>
      <c r="F1584" s="16"/>
      <c r="G1584" s="46" t="s">
        <v>157</v>
      </c>
      <c r="H1584" s="46" t="s">
        <v>212</v>
      </c>
      <c r="I1584" s="18" t="s">
        <v>449</v>
      </c>
      <c r="J1584" s="18"/>
      <c r="K1584" s="18"/>
      <c r="L1584" s="25"/>
    </row>
    <row r="1585" hidden="1" customHeight="1" spans="1:12">
      <c r="A1585" s="14" t="str">
        <f t="shared" si="31"/>
        <v>0x00000454</v>
      </c>
      <c r="B1585" s="15">
        <f>SUM_HEX(C1584:F1584,B1584,3)</f>
        <v>1108</v>
      </c>
      <c r="C1585" s="16" t="s">
        <v>450</v>
      </c>
      <c r="D1585" s="16"/>
      <c r="E1585" s="16"/>
      <c r="F1585" s="16"/>
      <c r="G1585" s="47"/>
      <c r="H1585" s="47"/>
      <c r="I1585" s="18"/>
      <c r="J1585" s="18"/>
      <c r="K1585" s="18"/>
      <c r="L1585" s="25"/>
    </row>
    <row r="1586" hidden="1" customHeight="1" spans="1:12">
      <c r="A1586" s="14" t="str">
        <f t="shared" si="31"/>
        <v>0x00000458</v>
      </c>
      <c r="B1586" s="15">
        <f>SUM_HEX(C1585:F1585,B1585,3)</f>
        <v>1112</v>
      </c>
      <c r="C1586" s="16" t="s">
        <v>23</v>
      </c>
      <c r="D1586" s="16" t="s">
        <v>23</v>
      </c>
      <c r="E1586" s="16"/>
      <c r="F1586" s="16"/>
      <c r="G1586" s="47"/>
      <c r="H1586" s="47"/>
      <c r="I1586" s="18"/>
      <c r="J1586" s="18"/>
      <c r="K1586" s="18"/>
      <c r="L1586" s="25"/>
    </row>
    <row r="1587" hidden="1" customHeight="1" spans="1:12">
      <c r="A1587" s="14" t="str">
        <f t="shared" si="31"/>
        <v>0x00000460</v>
      </c>
      <c r="B1587" s="15">
        <f>SUM_HEX(C1586:F1586,B1586,3)</f>
        <v>1120</v>
      </c>
      <c r="C1587" s="16" t="s">
        <v>274</v>
      </c>
      <c r="D1587" s="16"/>
      <c r="E1587" s="16"/>
      <c r="F1587" s="16"/>
      <c r="G1587" s="48"/>
      <c r="H1587" s="48"/>
      <c r="I1587" s="18"/>
      <c r="J1587" s="18"/>
      <c r="K1587" s="18"/>
      <c r="L1587" s="25"/>
    </row>
    <row r="1588" hidden="1" customHeight="1" spans="1:12">
      <c r="A1588" s="14" t="str">
        <f t="shared" si="31"/>
        <v>0x00000464</v>
      </c>
      <c r="B1588" s="15">
        <f>SUM_HEX(C1587:F1587,B1587,3)</f>
        <v>1124</v>
      </c>
      <c r="C1588" s="16" t="s">
        <v>23</v>
      </c>
      <c r="D1588" s="16"/>
      <c r="E1588" s="16"/>
      <c r="F1588" s="16"/>
      <c r="G1588" s="46" t="s">
        <v>157</v>
      </c>
      <c r="H1588" s="46" t="s">
        <v>212</v>
      </c>
      <c r="I1588" s="18" t="s">
        <v>451</v>
      </c>
      <c r="J1588" s="18"/>
      <c r="K1588" s="18"/>
      <c r="L1588" s="25"/>
    </row>
    <row r="1589" hidden="1" customHeight="1" spans="1:12">
      <c r="A1589" s="14" t="str">
        <f t="shared" si="31"/>
        <v>0x00000468</v>
      </c>
      <c r="B1589" s="15">
        <f>SUM_HEX(C1588:F1588,B1588,3)</f>
        <v>1128</v>
      </c>
      <c r="C1589" s="16" t="s">
        <v>452</v>
      </c>
      <c r="D1589" s="16"/>
      <c r="E1589" s="16"/>
      <c r="F1589" s="16"/>
      <c r="G1589" s="47"/>
      <c r="H1589" s="47"/>
      <c r="I1589" s="18"/>
      <c r="J1589" s="18"/>
      <c r="K1589" s="18"/>
      <c r="L1589" s="25"/>
    </row>
    <row r="1590" hidden="1" customHeight="1" spans="1:12">
      <c r="A1590" s="14" t="str">
        <f t="shared" si="31"/>
        <v>0x0000046C</v>
      </c>
      <c r="B1590" s="15">
        <f>SUM_HEX(C1589:F1589,B1589,3)</f>
        <v>1132</v>
      </c>
      <c r="C1590" s="16" t="s">
        <v>23</v>
      </c>
      <c r="D1590" s="16" t="s">
        <v>23</v>
      </c>
      <c r="E1590" s="16"/>
      <c r="F1590" s="16"/>
      <c r="G1590" s="47"/>
      <c r="H1590" s="47"/>
      <c r="I1590" s="18"/>
      <c r="J1590" s="18"/>
      <c r="K1590" s="18"/>
      <c r="L1590" s="25"/>
    </row>
    <row r="1591" hidden="1" customHeight="1" spans="1:12">
      <c r="A1591" s="14" t="str">
        <f t="shared" si="31"/>
        <v>0x00000474</v>
      </c>
      <c r="B1591" s="15">
        <f>SUM_HEX(C1590:F1590,B1590,3)</f>
        <v>1140</v>
      </c>
      <c r="C1591" s="16" t="s">
        <v>274</v>
      </c>
      <c r="D1591" s="16"/>
      <c r="E1591" s="16"/>
      <c r="F1591" s="16"/>
      <c r="G1591" s="48"/>
      <c r="H1591" s="48"/>
      <c r="I1591" s="18"/>
      <c r="J1591" s="18"/>
      <c r="K1591" s="18"/>
      <c r="L1591" s="25"/>
    </row>
    <row r="1592" hidden="1" customHeight="1" spans="1:12">
      <c r="A1592" s="14" t="str">
        <f t="shared" si="31"/>
        <v>0x00000478</v>
      </c>
      <c r="B1592" s="15">
        <f>SUM_HEX(C1591:F1591,B1591,3)</f>
        <v>1144</v>
      </c>
      <c r="C1592" s="16" t="s">
        <v>23</v>
      </c>
      <c r="D1592" s="16"/>
      <c r="E1592" s="16"/>
      <c r="F1592" s="16"/>
      <c r="G1592" s="18" t="s">
        <v>15</v>
      </c>
      <c r="H1592" s="18"/>
      <c r="I1592" s="24" t="s">
        <v>453</v>
      </c>
      <c r="J1592" s="18"/>
      <c r="K1592" s="18" t="s">
        <v>416</v>
      </c>
      <c r="L1592" s="25"/>
    </row>
    <row r="1593" hidden="1" customHeight="1" spans="1:12">
      <c r="A1593" s="14" t="str">
        <f t="shared" si="31"/>
        <v>0x0000047C</v>
      </c>
      <c r="B1593" s="15">
        <f>SUM_HEX(C1592:F1592,B1592,3)</f>
        <v>1148</v>
      </c>
      <c r="C1593" s="16" t="s">
        <v>23</v>
      </c>
      <c r="D1593" s="16"/>
      <c r="E1593" s="16"/>
      <c r="F1593" s="16"/>
      <c r="G1593" s="46" t="s">
        <v>157</v>
      </c>
      <c r="H1593" s="46" t="s">
        <v>212</v>
      </c>
      <c r="I1593" s="18" t="s">
        <v>454</v>
      </c>
      <c r="J1593" s="18"/>
      <c r="K1593" s="18"/>
      <c r="L1593" s="25"/>
    </row>
    <row r="1594" hidden="1" customHeight="1" spans="1:12">
      <c r="A1594" s="14" t="str">
        <f t="shared" si="31"/>
        <v>0x00000480</v>
      </c>
      <c r="B1594" s="15">
        <f>SUM_HEX(C1593:F1593,B1593,3)</f>
        <v>1152</v>
      </c>
      <c r="C1594" s="16" t="s">
        <v>455</v>
      </c>
      <c r="D1594" s="16"/>
      <c r="E1594" s="16"/>
      <c r="F1594" s="16"/>
      <c r="G1594" s="47"/>
      <c r="H1594" s="47"/>
      <c r="I1594" s="18"/>
      <c r="J1594" s="18"/>
      <c r="K1594" s="18"/>
      <c r="L1594" s="25"/>
    </row>
    <row r="1595" hidden="1" customHeight="1" spans="1:12">
      <c r="A1595" s="14" t="str">
        <f t="shared" si="31"/>
        <v>0x00000484</v>
      </c>
      <c r="B1595" s="15">
        <f>SUM_HEX(C1594:F1594,B1594,3)</f>
        <v>1156</v>
      </c>
      <c r="C1595" s="16" t="s">
        <v>23</v>
      </c>
      <c r="D1595" s="16" t="s">
        <v>23</v>
      </c>
      <c r="E1595" s="16"/>
      <c r="F1595" s="16"/>
      <c r="G1595" s="47"/>
      <c r="H1595" s="47"/>
      <c r="I1595" s="18"/>
      <c r="J1595" s="18"/>
      <c r="K1595" s="18"/>
      <c r="L1595" s="25"/>
    </row>
    <row r="1596" hidden="1" customHeight="1" spans="1:12">
      <c r="A1596" s="14" t="str">
        <f t="shared" si="31"/>
        <v>0x0000048C</v>
      </c>
      <c r="B1596" s="15">
        <f>SUM_HEX(C1595:F1595,B1595,3)</f>
        <v>1164</v>
      </c>
      <c r="C1596" s="16" t="s">
        <v>274</v>
      </c>
      <c r="D1596" s="16"/>
      <c r="E1596" s="16"/>
      <c r="F1596" s="16"/>
      <c r="G1596" s="48"/>
      <c r="H1596" s="48"/>
      <c r="I1596" s="18"/>
      <c r="J1596" s="18"/>
      <c r="K1596" s="18"/>
      <c r="L1596" s="25"/>
    </row>
    <row r="1597" hidden="1" customHeight="1" spans="1:12">
      <c r="A1597" s="14" t="str">
        <f t="shared" si="31"/>
        <v>0x00000490</v>
      </c>
      <c r="B1597" s="15">
        <f>SUM_HEX(C1596:F1596,B1596,3)</f>
        <v>1168</v>
      </c>
      <c r="C1597" s="16" t="s">
        <v>23</v>
      </c>
      <c r="D1597" s="16"/>
      <c r="E1597" s="16"/>
      <c r="F1597" s="16"/>
      <c r="G1597" s="46" t="s">
        <v>157</v>
      </c>
      <c r="H1597" s="46" t="s">
        <v>212</v>
      </c>
      <c r="I1597" s="18" t="s">
        <v>456</v>
      </c>
      <c r="J1597" s="18"/>
      <c r="K1597" s="18"/>
      <c r="L1597" s="25"/>
    </row>
    <row r="1598" hidden="1" customHeight="1" spans="1:12">
      <c r="A1598" s="14" t="str">
        <f t="shared" si="31"/>
        <v>0x00000494</v>
      </c>
      <c r="B1598" s="15">
        <f>SUM_HEX(C1597:F1597,B1597,3)</f>
        <v>1172</v>
      </c>
      <c r="C1598" s="16" t="s">
        <v>457</v>
      </c>
      <c r="D1598" s="16"/>
      <c r="E1598" s="16"/>
      <c r="F1598" s="16"/>
      <c r="G1598" s="47"/>
      <c r="H1598" s="47"/>
      <c r="I1598" s="18"/>
      <c r="J1598" s="18"/>
      <c r="K1598" s="18"/>
      <c r="L1598" s="25"/>
    </row>
    <row r="1599" hidden="1" customHeight="1" spans="1:12">
      <c r="A1599" s="14" t="str">
        <f t="shared" si="31"/>
        <v>0x00000498</v>
      </c>
      <c r="B1599" s="15">
        <f>SUM_HEX(C1598:F1598,B1598,3)</f>
        <v>1176</v>
      </c>
      <c r="C1599" s="16" t="s">
        <v>23</v>
      </c>
      <c r="D1599" s="16" t="s">
        <v>23</v>
      </c>
      <c r="E1599" s="16"/>
      <c r="F1599" s="16"/>
      <c r="G1599" s="47"/>
      <c r="H1599" s="47"/>
      <c r="I1599" s="18"/>
      <c r="J1599" s="18"/>
      <c r="K1599" s="18"/>
      <c r="L1599" s="25"/>
    </row>
    <row r="1600" hidden="1" customHeight="1" spans="1:12">
      <c r="A1600" s="14" t="str">
        <f t="shared" si="31"/>
        <v>0x000004A0</v>
      </c>
      <c r="B1600" s="15">
        <f>SUM_HEX(C1599:F1599,B1599,3)</f>
        <v>1184</v>
      </c>
      <c r="C1600" s="16" t="s">
        <v>274</v>
      </c>
      <c r="D1600" s="16"/>
      <c r="E1600" s="16"/>
      <c r="F1600" s="16"/>
      <c r="G1600" s="48"/>
      <c r="H1600" s="48"/>
      <c r="I1600" s="18"/>
      <c r="J1600" s="18"/>
      <c r="K1600" s="18"/>
      <c r="L1600" s="25"/>
    </row>
    <row r="1601" hidden="1" customHeight="1" spans="1:12">
      <c r="A1601" s="14" t="str">
        <f t="shared" si="31"/>
        <v>0x000004A4</v>
      </c>
      <c r="B1601" s="15">
        <f>SUM_HEX(C1600:F1600,B1600,3)</f>
        <v>1188</v>
      </c>
      <c r="C1601" s="16" t="s">
        <v>23</v>
      </c>
      <c r="D1601" s="16"/>
      <c r="E1601" s="16"/>
      <c r="F1601" s="16"/>
      <c r="G1601" s="46" t="s">
        <v>157</v>
      </c>
      <c r="H1601" s="46" t="s">
        <v>212</v>
      </c>
      <c r="I1601" s="18" t="s">
        <v>458</v>
      </c>
      <c r="J1601" s="18"/>
      <c r="K1601" s="18"/>
      <c r="L1601" s="25" t="s">
        <v>272</v>
      </c>
    </row>
    <row r="1602" hidden="1" customHeight="1" spans="1:12">
      <c r="A1602" s="14" t="str">
        <f t="shared" si="31"/>
        <v>0x000004A8</v>
      </c>
      <c r="B1602" s="15">
        <f>SUM_HEX(C1601:F1601,B1601,3)</f>
        <v>1192</v>
      </c>
      <c r="C1602" s="16" t="s">
        <v>459</v>
      </c>
      <c r="D1602" s="16"/>
      <c r="E1602" s="16"/>
      <c r="F1602" s="16"/>
      <c r="G1602" s="47"/>
      <c r="H1602" s="47"/>
      <c r="I1602" s="18"/>
      <c r="J1602" s="18"/>
      <c r="K1602" s="18"/>
      <c r="L1602" s="25"/>
    </row>
    <row r="1603" hidden="1" customHeight="1" spans="1:12">
      <c r="A1603" s="14" t="str">
        <f t="shared" si="31"/>
        <v>0x000004AC</v>
      </c>
      <c r="B1603" s="15">
        <f>SUM_HEX(C1602:F1602,B1602,3)</f>
        <v>1196</v>
      </c>
      <c r="C1603" s="16" t="s">
        <v>23</v>
      </c>
      <c r="D1603" s="16" t="s">
        <v>23</v>
      </c>
      <c r="E1603" s="16"/>
      <c r="F1603" s="16"/>
      <c r="G1603" s="47"/>
      <c r="H1603" s="47"/>
      <c r="I1603" s="18"/>
      <c r="J1603" s="18"/>
      <c r="K1603" s="18"/>
      <c r="L1603" s="25"/>
    </row>
    <row r="1604" hidden="1" customHeight="1" spans="1:12">
      <c r="A1604" s="14" t="str">
        <f t="shared" si="31"/>
        <v>0x000004B4</v>
      </c>
      <c r="B1604" s="15">
        <f>SUM_HEX(C1603:F1603,B1603,3)</f>
        <v>1204</v>
      </c>
      <c r="C1604" s="16" t="s">
        <v>274</v>
      </c>
      <c r="D1604" s="16"/>
      <c r="E1604" s="16"/>
      <c r="F1604" s="16"/>
      <c r="G1604" s="48"/>
      <c r="H1604" s="48"/>
      <c r="I1604" s="18"/>
      <c r="J1604" s="18"/>
      <c r="K1604" s="18"/>
      <c r="L1604" s="25"/>
    </row>
    <row r="1605" customHeight="1" spans="1:12">
      <c r="A1605" s="14" t="str">
        <f t="shared" si="31"/>
        <v>0x000004B8</v>
      </c>
      <c r="B1605" s="15">
        <f>SUM_HEX(C1604:F1604,B1604,3)</f>
        <v>1208</v>
      </c>
      <c r="C1605" s="51" t="s">
        <v>23</v>
      </c>
      <c r="D1605" s="51"/>
      <c r="E1605" s="51"/>
      <c r="F1605" s="51"/>
      <c r="G1605" s="61" t="s">
        <v>157</v>
      </c>
      <c r="H1605" s="61" t="s">
        <v>212</v>
      </c>
      <c r="I1605" s="52" t="s">
        <v>460</v>
      </c>
      <c r="J1605" s="52"/>
      <c r="K1605" s="52"/>
      <c r="L1605" s="51"/>
    </row>
    <row r="1606" customHeight="1" spans="1:12">
      <c r="A1606" s="14" t="str">
        <f t="shared" si="31"/>
        <v>0x000004B8</v>
      </c>
      <c r="B1606" s="15">
        <f>SUM_HEX(C1605:F1605,B1605,3)</f>
        <v>1208</v>
      </c>
      <c r="C1606" s="51" t="s">
        <v>461</v>
      </c>
      <c r="D1606" s="51"/>
      <c r="E1606" s="51"/>
      <c r="F1606" s="51"/>
      <c r="G1606" s="62"/>
      <c r="H1606" s="62"/>
      <c r="I1606" s="52"/>
      <c r="J1606" s="52"/>
      <c r="K1606" s="52"/>
      <c r="L1606" s="51"/>
    </row>
    <row r="1607" customHeight="1" spans="1:12">
      <c r="A1607" s="14" t="str">
        <f t="shared" si="31"/>
        <v>0x000004B8</v>
      </c>
      <c r="B1607" s="15">
        <f>SUM_HEX(C1606:F1606,B1606,3)</f>
        <v>1208</v>
      </c>
      <c r="C1607" s="51" t="s">
        <v>23</v>
      </c>
      <c r="D1607" s="51" t="s">
        <v>23</v>
      </c>
      <c r="E1607" s="51"/>
      <c r="F1607" s="51"/>
      <c r="G1607" s="62"/>
      <c r="H1607" s="62"/>
      <c r="I1607" s="52"/>
      <c r="J1607" s="52"/>
      <c r="K1607" s="52"/>
      <c r="L1607" s="51"/>
    </row>
    <row r="1608" customHeight="1" spans="1:12">
      <c r="A1608" s="14" t="str">
        <f t="shared" si="31"/>
        <v>0x000004B8</v>
      </c>
      <c r="B1608" s="15">
        <f>SUM_HEX(C1607:F1607,B1607,3)</f>
        <v>1208</v>
      </c>
      <c r="C1608" s="51" t="s">
        <v>274</v>
      </c>
      <c r="D1608" s="51"/>
      <c r="E1608" s="51"/>
      <c r="F1608" s="51"/>
      <c r="G1608" s="63"/>
      <c r="H1608" s="63"/>
      <c r="I1608" s="52"/>
      <c r="J1608" s="52"/>
      <c r="K1608" s="52"/>
      <c r="L1608" s="51"/>
    </row>
    <row r="1609" hidden="1" customHeight="1" spans="1:12">
      <c r="A1609" s="14" t="str">
        <f t="shared" si="31"/>
        <v>0x000004B8</v>
      </c>
      <c r="B1609" s="15">
        <f>SUM_HEX(C1608:F1608,B1608,3)</f>
        <v>1208</v>
      </c>
      <c r="C1609" s="16" t="s">
        <v>462</v>
      </c>
      <c r="D1609" s="16"/>
      <c r="E1609" s="16"/>
      <c r="F1609" s="16"/>
      <c r="G1609" s="18" t="s">
        <v>33</v>
      </c>
      <c r="H1609" s="18" t="s">
        <v>54</v>
      </c>
      <c r="I1609" s="24" t="s">
        <v>463</v>
      </c>
      <c r="J1609" s="24" t="s">
        <v>464</v>
      </c>
      <c r="K1609" s="18"/>
      <c r="L1609" s="25"/>
    </row>
    <row r="1610" hidden="1" customHeight="1" spans="1:12">
      <c r="A1610" s="14"/>
      <c r="B1610" s="15"/>
      <c r="C1610" s="16"/>
      <c r="D1610" s="16"/>
      <c r="E1610" s="16"/>
      <c r="F1610" s="16"/>
      <c r="G1610" s="18"/>
      <c r="H1610" s="18" t="s">
        <v>57</v>
      </c>
      <c r="I1610" s="24"/>
      <c r="J1610" s="24" t="s">
        <v>465</v>
      </c>
      <c r="K1610" s="18"/>
      <c r="L1610" s="25"/>
    </row>
    <row r="1611" hidden="1" customHeight="1" spans="1:12">
      <c r="A1611" s="14"/>
      <c r="B1611" s="15"/>
      <c r="C1611" s="16"/>
      <c r="D1611" s="16"/>
      <c r="E1611" s="16"/>
      <c r="F1611" s="16"/>
      <c r="G1611" s="18"/>
      <c r="H1611" s="18" t="s">
        <v>58</v>
      </c>
      <c r="I1611" s="24"/>
      <c r="J1611" s="24" t="s">
        <v>466</v>
      </c>
      <c r="K1611" s="18"/>
      <c r="L1611" s="25"/>
    </row>
    <row r="1612" hidden="1" customHeight="1" spans="1:12">
      <c r="A1612" s="14"/>
      <c r="B1612" s="15"/>
      <c r="C1612" s="16"/>
      <c r="D1612" s="16"/>
      <c r="E1612" s="16"/>
      <c r="F1612" s="16"/>
      <c r="G1612" s="18"/>
      <c r="H1612" s="18" t="s">
        <v>59</v>
      </c>
      <c r="I1612" s="24"/>
      <c r="J1612" s="24" t="s">
        <v>467</v>
      </c>
      <c r="K1612" s="18"/>
      <c r="L1612" s="25"/>
    </row>
    <row r="1613" hidden="1" customHeight="1" spans="1:12">
      <c r="A1613" s="14"/>
      <c r="B1613" s="15"/>
      <c r="C1613" s="16"/>
      <c r="D1613" s="16"/>
      <c r="E1613" s="16"/>
      <c r="F1613" s="16"/>
      <c r="G1613" s="18"/>
      <c r="H1613" s="18" t="s">
        <v>60</v>
      </c>
      <c r="I1613" s="24"/>
      <c r="J1613" s="24" t="s">
        <v>468</v>
      </c>
      <c r="K1613" s="18"/>
      <c r="L1613" s="25"/>
    </row>
    <row r="1614" hidden="1" customHeight="1" spans="1:12">
      <c r="A1614" s="14"/>
      <c r="B1614" s="15"/>
      <c r="C1614" s="16"/>
      <c r="D1614" s="16"/>
      <c r="E1614" s="16"/>
      <c r="F1614" s="16"/>
      <c r="G1614" s="18"/>
      <c r="H1614" s="18" t="s">
        <v>61</v>
      </c>
      <c r="I1614" s="24"/>
      <c r="J1614" s="18"/>
      <c r="K1614" s="18"/>
      <c r="L1614" s="25"/>
    </row>
    <row r="1615" hidden="1" customHeight="1" spans="1:12">
      <c r="A1615" s="14"/>
      <c r="B1615" s="15"/>
      <c r="C1615" s="16"/>
      <c r="D1615" s="16"/>
      <c r="E1615" s="16"/>
      <c r="F1615" s="16"/>
      <c r="G1615" s="18"/>
      <c r="H1615" s="18" t="s">
        <v>62</v>
      </c>
      <c r="I1615" s="24"/>
      <c r="J1615" s="24" t="s">
        <v>469</v>
      </c>
      <c r="K1615" s="18"/>
      <c r="L1615" s="25"/>
    </row>
    <row r="1616" hidden="1" customHeight="1" spans="1:12">
      <c r="A1616" s="14"/>
      <c r="B1616" s="15"/>
      <c r="C1616" s="16"/>
      <c r="D1616" s="16"/>
      <c r="E1616" s="16"/>
      <c r="F1616" s="16"/>
      <c r="G1616" s="18"/>
      <c r="H1616" s="18" t="s">
        <v>63</v>
      </c>
      <c r="I1616" s="24"/>
      <c r="J1616" s="24" t="s">
        <v>470</v>
      </c>
      <c r="K1616" s="18"/>
      <c r="L1616" s="25"/>
    </row>
    <row r="1617" hidden="1" customHeight="1" spans="1:12">
      <c r="A1617" s="14"/>
      <c r="B1617" s="15"/>
      <c r="C1617" s="16"/>
      <c r="D1617" s="16"/>
      <c r="E1617" s="16"/>
      <c r="F1617" s="16"/>
      <c r="G1617" s="18"/>
      <c r="H1617" s="18" t="s">
        <v>64</v>
      </c>
      <c r="I1617" s="24"/>
      <c r="J1617" s="24" t="s">
        <v>471</v>
      </c>
      <c r="K1617" s="18"/>
      <c r="L1617" s="25"/>
    </row>
    <row r="1618" hidden="1" customHeight="1" spans="1:12">
      <c r="A1618" s="14"/>
      <c r="B1618" s="15"/>
      <c r="C1618" s="16"/>
      <c r="D1618" s="16"/>
      <c r="E1618" s="16"/>
      <c r="F1618" s="16"/>
      <c r="G1618" s="18"/>
      <c r="H1618" s="18" t="s">
        <v>65</v>
      </c>
      <c r="I1618" s="24"/>
      <c r="J1618" s="24" t="s">
        <v>472</v>
      </c>
      <c r="K1618" s="18"/>
      <c r="L1618" s="25"/>
    </row>
    <row r="1619" hidden="1" customHeight="1" spans="1:12">
      <c r="A1619" s="14"/>
      <c r="B1619" s="15"/>
      <c r="C1619" s="16"/>
      <c r="D1619" s="16"/>
      <c r="E1619" s="16"/>
      <c r="F1619" s="16"/>
      <c r="G1619" s="18"/>
      <c r="H1619" s="18" t="s">
        <v>66</v>
      </c>
      <c r="I1619" s="24"/>
      <c r="J1619" s="24" t="s">
        <v>473</v>
      </c>
      <c r="K1619" s="18"/>
      <c r="L1619" s="25"/>
    </row>
    <row r="1620" hidden="1" customHeight="1" spans="1:12">
      <c r="A1620" s="14"/>
      <c r="B1620" s="15"/>
      <c r="C1620" s="16"/>
      <c r="D1620" s="16"/>
      <c r="E1620" s="16"/>
      <c r="F1620" s="16"/>
      <c r="G1620" s="18"/>
      <c r="H1620" s="18" t="s">
        <v>67</v>
      </c>
      <c r="I1620" s="24"/>
      <c r="J1620" s="24" t="s">
        <v>474</v>
      </c>
      <c r="K1620" s="18"/>
      <c r="L1620" s="25"/>
    </row>
    <row r="1621" hidden="1" customHeight="1" spans="1:12">
      <c r="A1621" s="14"/>
      <c r="B1621" s="15"/>
      <c r="C1621" s="16"/>
      <c r="D1621" s="16"/>
      <c r="E1621" s="16"/>
      <c r="F1621" s="16"/>
      <c r="G1621" s="18"/>
      <c r="H1621" s="18" t="s">
        <v>68</v>
      </c>
      <c r="I1621" s="24"/>
      <c r="J1621" s="24" t="s">
        <v>475</v>
      </c>
      <c r="K1621" s="18"/>
      <c r="L1621" s="25"/>
    </row>
    <row r="1622" hidden="1" customHeight="1" spans="1:12">
      <c r="A1622" s="14"/>
      <c r="B1622" s="15"/>
      <c r="C1622" s="16"/>
      <c r="D1622" s="16"/>
      <c r="E1622" s="16"/>
      <c r="F1622" s="16"/>
      <c r="G1622" s="18"/>
      <c r="H1622" s="18" t="s">
        <v>69</v>
      </c>
      <c r="I1622" s="24"/>
      <c r="J1622" s="24" t="s">
        <v>476</v>
      </c>
      <c r="K1622" s="18"/>
      <c r="L1622" s="25"/>
    </row>
    <row r="1623" hidden="1" customHeight="1" spans="1:12">
      <c r="A1623" s="14"/>
      <c r="B1623" s="15"/>
      <c r="C1623" s="16"/>
      <c r="D1623" s="16"/>
      <c r="E1623" s="16"/>
      <c r="F1623" s="16"/>
      <c r="G1623" s="18"/>
      <c r="H1623" s="18" t="s">
        <v>70</v>
      </c>
      <c r="I1623" s="24"/>
      <c r="J1623" s="24" t="s">
        <v>477</v>
      </c>
      <c r="K1623" s="18"/>
      <c r="L1623" s="25"/>
    </row>
    <row r="1624" hidden="1" customHeight="1" spans="1:12">
      <c r="A1624" s="14"/>
      <c r="B1624" s="15"/>
      <c r="C1624" s="16"/>
      <c r="D1624" s="16"/>
      <c r="E1624" s="16"/>
      <c r="F1624" s="16"/>
      <c r="G1624" s="18"/>
      <c r="H1624" s="18" t="s">
        <v>71</v>
      </c>
      <c r="I1624" s="24"/>
      <c r="J1624" s="24" t="s">
        <v>478</v>
      </c>
      <c r="K1624" s="18"/>
      <c r="L1624" s="25"/>
    </row>
    <row r="1625" hidden="1" customHeight="1" spans="1:12">
      <c r="A1625" s="14"/>
      <c r="B1625" s="15"/>
      <c r="C1625" s="16"/>
      <c r="D1625" s="16"/>
      <c r="E1625" s="16"/>
      <c r="F1625" s="16"/>
      <c r="G1625" s="18"/>
      <c r="H1625" s="18" t="s">
        <v>72</v>
      </c>
      <c r="I1625" s="24"/>
      <c r="J1625" s="24" t="s">
        <v>479</v>
      </c>
      <c r="K1625" s="18"/>
      <c r="L1625" s="25"/>
    </row>
    <row r="1626" hidden="1" customHeight="1" spans="1:12">
      <c r="A1626" s="14"/>
      <c r="B1626" s="15"/>
      <c r="C1626" s="16"/>
      <c r="D1626" s="16"/>
      <c r="E1626" s="16"/>
      <c r="F1626" s="16"/>
      <c r="G1626" s="18"/>
      <c r="H1626" s="18" t="s">
        <v>73</v>
      </c>
      <c r="I1626" s="24"/>
      <c r="J1626" s="24" t="s">
        <v>480</v>
      </c>
      <c r="K1626" s="18"/>
      <c r="L1626" s="25"/>
    </row>
    <row r="1627" hidden="1" customHeight="1" spans="1:12">
      <c r="A1627" s="14"/>
      <c r="B1627" s="15"/>
      <c r="C1627" s="16"/>
      <c r="D1627" s="16"/>
      <c r="E1627" s="16"/>
      <c r="F1627" s="16"/>
      <c r="G1627" s="18"/>
      <c r="H1627" s="18" t="s">
        <v>74</v>
      </c>
      <c r="I1627" s="24"/>
      <c r="J1627" s="24" t="s">
        <v>481</v>
      </c>
      <c r="K1627" s="18"/>
      <c r="L1627" s="25"/>
    </row>
    <row r="1628" hidden="1" customHeight="1" spans="1:12">
      <c r="A1628" s="14"/>
      <c r="B1628" s="15"/>
      <c r="C1628" s="16"/>
      <c r="D1628" s="16"/>
      <c r="E1628" s="16"/>
      <c r="F1628" s="16"/>
      <c r="G1628" s="18"/>
      <c r="H1628" s="18" t="s">
        <v>75</v>
      </c>
      <c r="I1628" s="24"/>
      <c r="J1628" s="24" t="s">
        <v>482</v>
      </c>
      <c r="K1628" s="18"/>
      <c r="L1628" s="25"/>
    </row>
    <row r="1629" hidden="1" customHeight="1" spans="1:12">
      <c r="A1629" s="14"/>
      <c r="B1629" s="15"/>
      <c r="C1629" s="16"/>
      <c r="D1629" s="16"/>
      <c r="E1629" s="16"/>
      <c r="F1629" s="16"/>
      <c r="G1629" s="18"/>
      <c r="H1629" s="18" t="s">
        <v>76</v>
      </c>
      <c r="I1629" s="24"/>
      <c r="J1629" s="24" t="s">
        <v>483</v>
      </c>
      <c r="K1629" s="18"/>
      <c r="L1629" s="25"/>
    </row>
    <row r="1630" hidden="1" customHeight="1" spans="1:12">
      <c r="A1630" s="14"/>
      <c r="B1630" s="15"/>
      <c r="C1630" s="16"/>
      <c r="D1630" s="16"/>
      <c r="E1630" s="16"/>
      <c r="F1630" s="16"/>
      <c r="G1630" s="18"/>
      <c r="H1630" s="18" t="s">
        <v>77</v>
      </c>
      <c r="I1630" s="24"/>
      <c r="J1630" s="24" t="s">
        <v>484</v>
      </c>
      <c r="K1630" s="18"/>
      <c r="L1630" s="25"/>
    </row>
    <row r="1631" hidden="1" customHeight="1" spans="1:12">
      <c r="A1631" s="14"/>
      <c r="B1631" s="15"/>
      <c r="C1631" s="16"/>
      <c r="D1631" s="16"/>
      <c r="E1631" s="16"/>
      <c r="F1631" s="16"/>
      <c r="G1631" s="18"/>
      <c r="H1631" s="18" t="s">
        <v>78</v>
      </c>
      <c r="I1631" s="24"/>
      <c r="J1631" s="24" t="s">
        <v>485</v>
      </c>
      <c r="K1631" s="18"/>
      <c r="L1631" s="25"/>
    </row>
    <row r="1632" hidden="1" customHeight="1" spans="1:12">
      <c r="A1632" s="14"/>
      <c r="B1632" s="15"/>
      <c r="C1632" s="16"/>
      <c r="D1632" s="16"/>
      <c r="E1632" s="16"/>
      <c r="F1632" s="16"/>
      <c r="G1632" s="18"/>
      <c r="H1632" s="18" t="s">
        <v>79</v>
      </c>
      <c r="I1632" s="24"/>
      <c r="J1632" s="24" t="s">
        <v>486</v>
      </c>
      <c r="K1632" s="18"/>
      <c r="L1632" s="25"/>
    </row>
    <row r="1633" hidden="1" customHeight="1" spans="1:12">
      <c r="A1633" s="14"/>
      <c r="B1633" s="15"/>
      <c r="C1633" s="16"/>
      <c r="D1633" s="16"/>
      <c r="E1633" s="16"/>
      <c r="F1633" s="16"/>
      <c r="G1633" s="18"/>
      <c r="H1633" s="18" t="s">
        <v>80</v>
      </c>
      <c r="I1633" s="24"/>
      <c r="J1633" s="24" t="s">
        <v>487</v>
      </c>
      <c r="K1633" s="18"/>
      <c r="L1633" s="25"/>
    </row>
    <row r="1634" hidden="1" customHeight="1" spans="1:12">
      <c r="A1634" s="14"/>
      <c r="B1634" s="15"/>
      <c r="C1634" s="16"/>
      <c r="D1634" s="16"/>
      <c r="E1634" s="16"/>
      <c r="F1634" s="16"/>
      <c r="G1634" s="18"/>
      <c r="H1634" s="18" t="s">
        <v>81</v>
      </c>
      <c r="I1634" s="24"/>
      <c r="J1634" s="24" t="s">
        <v>488</v>
      </c>
      <c r="K1634" s="18"/>
      <c r="L1634" s="25"/>
    </row>
    <row r="1635" hidden="1" customHeight="1" spans="1:12">
      <c r="A1635" s="14"/>
      <c r="B1635" s="15"/>
      <c r="C1635" s="16"/>
      <c r="D1635" s="16"/>
      <c r="E1635" s="16"/>
      <c r="F1635" s="16"/>
      <c r="G1635" s="18"/>
      <c r="H1635" s="18" t="s">
        <v>82</v>
      </c>
      <c r="I1635" s="24"/>
      <c r="J1635" s="24" t="s">
        <v>489</v>
      </c>
      <c r="K1635" s="18"/>
      <c r="L1635" s="25"/>
    </row>
    <row r="1636" hidden="1" customHeight="1" spans="1:12">
      <c r="A1636" s="14"/>
      <c r="B1636" s="15"/>
      <c r="C1636" s="16"/>
      <c r="D1636" s="16"/>
      <c r="E1636" s="16"/>
      <c r="F1636" s="16"/>
      <c r="G1636" s="18"/>
      <c r="H1636" s="18" t="s">
        <v>83</v>
      </c>
      <c r="I1636" s="24"/>
      <c r="J1636" s="24"/>
      <c r="K1636" s="18"/>
      <c r="L1636" s="25"/>
    </row>
    <row r="1637" hidden="1" customHeight="1" spans="1:12">
      <c r="A1637" s="14"/>
      <c r="B1637" s="15"/>
      <c r="C1637" s="16"/>
      <c r="D1637" s="16"/>
      <c r="E1637" s="16"/>
      <c r="F1637" s="16"/>
      <c r="G1637" s="18"/>
      <c r="H1637" s="18" t="s">
        <v>84</v>
      </c>
      <c r="I1637" s="24"/>
      <c r="J1637" s="24" t="s">
        <v>490</v>
      </c>
      <c r="K1637" s="18"/>
      <c r="L1637" s="25"/>
    </row>
    <row r="1638" hidden="1" customHeight="1" spans="1:12">
      <c r="A1638" s="14"/>
      <c r="B1638" s="15"/>
      <c r="C1638" s="16"/>
      <c r="D1638" s="16"/>
      <c r="E1638" s="16"/>
      <c r="F1638" s="16"/>
      <c r="G1638" s="18"/>
      <c r="H1638" s="18" t="s">
        <v>85</v>
      </c>
      <c r="I1638" s="24"/>
      <c r="J1638" s="24" t="s">
        <v>491</v>
      </c>
      <c r="K1638" s="18"/>
      <c r="L1638" s="25"/>
    </row>
    <row r="1639" hidden="1" customHeight="1" spans="1:12">
      <c r="A1639" s="14"/>
      <c r="B1639" s="15"/>
      <c r="C1639" s="16"/>
      <c r="D1639" s="16"/>
      <c r="E1639" s="16"/>
      <c r="F1639" s="16"/>
      <c r="G1639" s="18"/>
      <c r="H1639" s="18" t="s">
        <v>86</v>
      </c>
      <c r="I1639" s="24"/>
      <c r="J1639" s="24" t="s">
        <v>492</v>
      </c>
      <c r="K1639" s="18"/>
      <c r="L1639" s="25"/>
    </row>
    <row r="1640" hidden="1" customHeight="1" spans="1:12">
      <c r="A1640" s="14"/>
      <c r="B1640" s="15"/>
      <c r="C1640" s="16"/>
      <c r="D1640" s="16"/>
      <c r="E1640" s="16"/>
      <c r="F1640" s="16"/>
      <c r="G1640" s="18"/>
      <c r="H1640" s="18" t="s">
        <v>87</v>
      </c>
      <c r="I1640" s="24"/>
      <c r="J1640" s="24"/>
      <c r="K1640" s="18"/>
      <c r="L1640" s="25"/>
    </row>
    <row r="1641" hidden="1" customHeight="1" spans="1:12">
      <c r="A1641" s="14" t="str">
        <f>"0x"&amp;DEC2HEX(B1641,8)</f>
        <v>0x000004BC</v>
      </c>
      <c r="B1641" s="15">
        <f>SUM_HEX(C1609:F1640,B1609,3)</f>
        <v>1212</v>
      </c>
      <c r="C1641" s="16" t="s">
        <v>493</v>
      </c>
      <c r="D1641" s="16"/>
      <c r="E1641" s="16"/>
      <c r="F1641" s="16"/>
      <c r="G1641" s="18" t="s">
        <v>33</v>
      </c>
      <c r="H1641" s="18" t="s">
        <v>54</v>
      </c>
      <c r="I1641" s="24" t="s">
        <v>494</v>
      </c>
      <c r="J1641" s="18" t="s">
        <v>495</v>
      </c>
      <c r="K1641" s="18"/>
      <c r="L1641" s="25"/>
    </row>
    <row r="1642" hidden="1" customHeight="1" spans="1:12">
      <c r="A1642" s="14"/>
      <c r="B1642" s="15"/>
      <c r="C1642" s="16"/>
      <c r="D1642" s="16"/>
      <c r="E1642" s="16"/>
      <c r="F1642" s="16"/>
      <c r="G1642" s="18"/>
      <c r="H1642" s="18" t="s">
        <v>57</v>
      </c>
      <c r="I1642" s="24"/>
      <c r="J1642" s="18" t="s">
        <v>496</v>
      </c>
      <c r="K1642" s="18"/>
      <c r="L1642" s="25"/>
    </row>
    <row r="1643" hidden="1" customHeight="1" spans="1:12">
      <c r="A1643" s="14"/>
      <c r="B1643" s="15"/>
      <c r="C1643" s="16"/>
      <c r="D1643" s="16"/>
      <c r="E1643" s="16"/>
      <c r="F1643" s="16"/>
      <c r="G1643" s="18"/>
      <c r="H1643" s="18" t="s">
        <v>58</v>
      </c>
      <c r="I1643" s="24"/>
      <c r="J1643" s="18" t="s">
        <v>497</v>
      </c>
      <c r="K1643" s="18"/>
      <c r="L1643" s="25"/>
    </row>
    <row r="1644" hidden="1" customHeight="1" spans="1:12">
      <c r="A1644" s="14"/>
      <c r="B1644" s="15"/>
      <c r="C1644" s="16"/>
      <c r="D1644" s="16"/>
      <c r="E1644" s="16"/>
      <c r="F1644" s="16"/>
      <c r="G1644" s="18"/>
      <c r="H1644" s="18" t="s">
        <v>59</v>
      </c>
      <c r="I1644" s="24"/>
      <c r="J1644" s="18" t="s">
        <v>498</v>
      </c>
      <c r="K1644" s="18"/>
      <c r="L1644" s="25"/>
    </row>
    <row r="1645" hidden="1" customHeight="1" spans="1:12">
      <c r="A1645" s="14"/>
      <c r="B1645" s="15"/>
      <c r="C1645" s="16"/>
      <c r="D1645" s="16"/>
      <c r="E1645" s="16"/>
      <c r="F1645" s="16"/>
      <c r="G1645" s="18"/>
      <c r="H1645" s="18" t="s">
        <v>60</v>
      </c>
      <c r="I1645" s="24"/>
      <c r="J1645" s="18" t="s">
        <v>500</v>
      </c>
      <c r="K1645" s="18"/>
      <c r="L1645" s="25"/>
    </row>
    <row r="1646" hidden="1" customHeight="1" spans="1:12">
      <c r="A1646" s="14"/>
      <c r="B1646" s="15"/>
      <c r="C1646" s="16"/>
      <c r="D1646" s="16"/>
      <c r="E1646" s="16"/>
      <c r="F1646" s="16"/>
      <c r="G1646" s="18"/>
      <c r="H1646" s="18" t="s">
        <v>61</v>
      </c>
      <c r="I1646" s="24"/>
      <c r="J1646" s="18" t="s">
        <v>500</v>
      </c>
      <c r="K1646" s="18"/>
      <c r="L1646" s="25"/>
    </row>
    <row r="1647" hidden="1" customHeight="1" spans="1:12">
      <c r="A1647" s="14"/>
      <c r="B1647" s="15"/>
      <c r="C1647" s="16"/>
      <c r="D1647" s="16"/>
      <c r="E1647" s="16"/>
      <c r="F1647" s="16"/>
      <c r="G1647" s="18"/>
      <c r="H1647" s="18" t="s">
        <v>62</v>
      </c>
      <c r="I1647" s="24"/>
      <c r="J1647" s="18"/>
      <c r="K1647" s="18"/>
      <c r="L1647" s="25"/>
    </row>
    <row r="1648" hidden="1" customHeight="1" spans="1:12">
      <c r="A1648" s="14"/>
      <c r="B1648" s="15"/>
      <c r="C1648" s="16"/>
      <c r="D1648" s="16"/>
      <c r="E1648" s="16"/>
      <c r="F1648" s="16"/>
      <c r="G1648" s="18"/>
      <c r="H1648" s="18" t="s">
        <v>63</v>
      </c>
      <c r="I1648" s="24"/>
      <c r="J1648" s="18" t="s">
        <v>501</v>
      </c>
      <c r="K1648" s="18"/>
      <c r="L1648" s="25"/>
    </row>
    <row r="1649" hidden="1" customHeight="1" spans="1:12">
      <c r="A1649" s="14" t="str">
        <f t="shared" ref="A1649:A1694" si="32">"0x"&amp;DEC2HEX(B1649,8)</f>
        <v>0x000004C0</v>
      </c>
      <c r="B1649" s="15">
        <f>SUM_HEX(C1641:F1641,B1641,3)</f>
        <v>1216</v>
      </c>
      <c r="C1649" s="16" t="s">
        <v>23</v>
      </c>
      <c r="D1649" s="16"/>
      <c r="E1649" s="16"/>
      <c r="F1649" s="16"/>
      <c r="G1649" s="18" t="s">
        <v>15</v>
      </c>
      <c r="H1649" s="18"/>
      <c r="I1649" s="24" t="s">
        <v>502</v>
      </c>
      <c r="J1649" s="18"/>
      <c r="K1649" s="18" t="s">
        <v>372</v>
      </c>
      <c r="L1649" s="25"/>
    </row>
    <row r="1650" hidden="1" customHeight="1" spans="1:12">
      <c r="A1650" s="14" t="str">
        <f t="shared" si="32"/>
        <v>0x000004C4</v>
      </c>
      <c r="B1650" s="15">
        <f>SUM_HEX(C1649:F1649,B1649,3)</f>
        <v>1220</v>
      </c>
      <c r="C1650" s="16" t="s">
        <v>23</v>
      </c>
      <c r="D1650" s="16"/>
      <c r="E1650" s="16"/>
      <c r="F1650" s="16"/>
      <c r="G1650" s="18" t="s">
        <v>15</v>
      </c>
      <c r="H1650" s="18"/>
      <c r="I1650" s="24" t="s">
        <v>503</v>
      </c>
      <c r="J1650" s="18"/>
      <c r="K1650" s="18" t="s">
        <v>372</v>
      </c>
      <c r="L1650" s="25"/>
    </row>
    <row r="1651" hidden="1" customHeight="1" spans="1:12">
      <c r="A1651" s="14" t="str">
        <f t="shared" si="32"/>
        <v>0x000004C8</v>
      </c>
      <c r="B1651" s="15">
        <f>SUM_HEX(C1650:F1650,B1650,3)</f>
        <v>1224</v>
      </c>
      <c r="C1651" s="16" t="s">
        <v>23</v>
      </c>
      <c r="D1651" s="16"/>
      <c r="E1651" s="16"/>
      <c r="F1651" s="16"/>
      <c r="G1651" s="18" t="s">
        <v>15</v>
      </c>
      <c r="H1651" s="18"/>
      <c r="I1651" s="24" t="s">
        <v>504</v>
      </c>
      <c r="J1651" s="18"/>
      <c r="K1651" s="18" t="s">
        <v>372</v>
      </c>
      <c r="L1651" s="25"/>
    </row>
    <row r="1652" hidden="1" customHeight="1" spans="1:12">
      <c r="A1652" s="14" t="str">
        <f t="shared" si="32"/>
        <v>0x000004CC</v>
      </c>
      <c r="B1652" s="15">
        <f>SUM_HEX(C1651:F1651,B1651,3)</f>
        <v>1228</v>
      </c>
      <c r="C1652" s="16" t="s">
        <v>23</v>
      </c>
      <c r="D1652" s="16"/>
      <c r="E1652" s="16"/>
      <c r="F1652" s="16"/>
      <c r="G1652" s="46" t="s">
        <v>157</v>
      </c>
      <c r="H1652" s="46" t="s">
        <v>212</v>
      </c>
      <c r="I1652" s="18" t="s">
        <v>505</v>
      </c>
      <c r="J1652" s="18"/>
      <c r="K1652" s="18"/>
      <c r="L1652" s="25"/>
    </row>
    <row r="1653" hidden="1" customHeight="1" spans="1:12">
      <c r="A1653" s="14" t="str">
        <f t="shared" si="32"/>
        <v>0x000004D0</v>
      </c>
      <c r="B1653" s="15">
        <f>SUM_HEX(C1652:F1652,B1652,3)</f>
        <v>1232</v>
      </c>
      <c r="C1653" s="16" t="s">
        <v>506</v>
      </c>
      <c r="D1653" s="16"/>
      <c r="E1653" s="16"/>
      <c r="F1653" s="16"/>
      <c r="G1653" s="47"/>
      <c r="H1653" s="47"/>
      <c r="I1653" s="18"/>
      <c r="J1653" s="18"/>
      <c r="K1653" s="18"/>
      <c r="L1653" s="25"/>
    </row>
    <row r="1654" hidden="1" customHeight="1" spans="1:12">
      <c r="A1654" s="14" t="str">
        <f t="shared" si="32"/>
        <v>0x000004D4</v>
      </c>
      <c r="B1654" s="15">
        <f>SUM_HEX(C1653:F1653,B1653,3)</f>
        <v>1236</v>
      </c>
      <c r="C1654" s="16" t="s">
        <v>507</v>
      </c>
      <c r="D1654" s="16" t="s">
        <v>23</v>
      </c>
      <c r="E1654" s="16"/>
      <c r="F1654" s="16"/>
      <c r="G1654" s="47"/>
      <c r="H1654" s="47"/>
      <c r="I1654" s="18"/>
      <c r="J1654" s="18"/>
      <c r="K1654" s="18"/>
      <c r="L1654" s="25"/>
    </row>
    <row r="1655" hidden="1" customHeight="1" spans="1:12">
      <c r="A1655" s="14" t="str">
        <f t="shared" si="32"/>
        <v>0x000004DC</v>
      </c>
      <c r="B1655" s="15">
        <f>SUM_HEX(C1654:F1654,B1654,3)</f>
        <v>1244</v>
      </c>
      <c r="C1655" s="16" t="s">
        <v>274</v>
      </c>
      <c r="D1655" s="16"/>
      <c r="E1655" s="16"/>
      <c r="F1655" s="16"/>
      <c r="G1655" s="48"/>
      <c r="H1655" s="48"/>
      <c r="I1655" s="18"/>
      <c r="J1655" s="18"/>
      <c r="K1655" s="18"/>
      <c r="L1655" s="25"/>
    </row>
    <row r="1656" hidden="1" customHeight="1" spans="1:12">
      <c r="A1656" s="14" t="str">
        <f t="shared" si="32"/>
        <v>0x000004E0</v>
      </c>
      <c r="B1656" s="15">
        <f>SUM_HEX(C1655:F1655,B1655,3)</f>
        <v>1248</v>
      </c>
      <c r="C1656" s="16" t="s">
        <v>23</v>
      </c>
      <c r="D1656" s="16"/>
      <c r="E1656" s="16"/>
      <c r="F1656" s="16"/>
      <c r="G1656" s="46" t="s">
        <v>157</v>
      </c>
      <c r="H1656" s="46" t="s">
        <v>508</v>
      </c>
      <c r="I1656" s="24" t="s">
        <v>509</v>
      </c>
      <c r="J1656" s="18"/>
      <c r="K1656" s="18"/>
      <c r="L1656" s="25"/>
    </row>
    <row r="1657" hidden="1" customHeight="1" spans="1:12">
      <c r="A1657" s="14" t="str">
        <f t="shared" si="32"/>
        <v>0x000004E4</v>
      </c>
      <c r="B1657" s="15">
        <f>SUM_HEX(C1656:F1656,B1656,3)</f>
        <v>1252</v>
      </c>
      <c r="C1657" s="16" t="s">
        <v>510</v>
      </c>
      <c r="D1657" s="16"/>
      <c r="E1657" s="16"/>
      <c r="F1657" s="16"/>
      <c r="G1657" s="47"/>
      <c r="H1657" s="47"/>
      <c r="I1657" s="18"/>
      <c r="J1657" s="18"/>
      <c r="K1657" s="18"/>
      <c r="L1657" s="25"/>
    </row>
    <row r="1658" hidden="1" customHeight="1" spans="1:12">
      <c r="A1658" s="14" t="str">
        <f t="shared" si="32"/>
        <v>0x000004E8</v>
      </c>
      <c r="B1658" s="15">
        <f>SUM_HEX(C1657:F1657,B1657,3)</f>
        <v>1256</v>
      </c>
      <c r="C1658" s="16" t="s">
        <v>23</v>
      </c>
      <c r="D1658" s="16" t="s">
        <v>23</v>
      </c>
      <c r="E1658" s="16"/>
      <c r="F1658" s="16"/>
      <c r="G1658" s="47"/>
      <c r="H1658" s="47"/>
      <c r="I1658" s="18"/>
      <c r="J1658" s="18"/>
      <c r="K1658" s="18"/>
      <c r="L1658" s="25"/>
    </row>
    <row r="1659" hidden="1" customHeight="1" spans="1:12">
      <c r="A1659" s="14" t="str">
        <f t="shared" si="32"/>
        <v>0x000004F0</v>
      </c>
      <c r="B1659" s="15">
        <f>SUM_HEX(C1658:F1658,B1658,3)</f>
        <v>1264</v>
      </c>
      <c r="C1659" s="16" t="s">
        <v>23</v>
      </c>
      <c r="D1659" s="16" t="s">
        <v>23</v>
      </c>
      <c r="E1659" s="16"/>
      <c r="F1659" s="16"/>
      <c r="G1659" s="47"/>
      <c r="H1659" s="47"/>
      <c r="I1659" s="18"/>
      <c r="J1659" s="18"/>
      <c r="K1659" s="18"/>
      <c r="L1659" s="25"/>
    </row>
    <row r="1660" hidden="1" customHeight="1" spans="1:12">
      <c r="A1660" s="14" t="str">
        <f t="shared" si="32"/>
        <v>0x000004F8</v>
      </c>
      <c r="B1660" s="15">
        <f>SUM_HEX(C1659:F1659,B1659,3)</f>
        <v>1272</v>
      </c>
      <c r="C1660" s="16" t="s">
        <v>274</v>
      </c>
      <c r="D1660" s="16"/>
      <c r="E1660" s="16"/>
      <c r="F1660" s="16"/>
      <c r="G1660" s="48"/>
      <c r="H1660" s="48"/>
      <c r="I1660" s="18"/>
      <c r="J1660" s="18"/>
      <c r="K1660" s="18"/>
      <c r="L1660" s="25"/>
    </row>
    <row r="1661" hidden="1" customHeight="1" spans="1:12">
      <c r="A1661" s="14" t="str">
        <f t="shared" si="32"/>
        <v>0x000004FC</v>
      </c>
      <c r="B1661" s="15">
        <f>SUM_HEX(C1660:F1660,B1660,3)</f>
        <v>1276</v>
      </c>
      <c r="C1661" s="16" t="s">
        <v>23</v>
      </c>
      <c r="D1661" s="16"/>
      <c r="E1661" s="16"/>
      <c r="F1661" s="16"/>
      <c r="G1661" s="46" t="s">
        <v>157</v>
      </c>
      <c r="H1661" s="46" t="s">
        <v>326</v>
      </c>
      <c r="I1661" s="24" t="s">
        <v>511</v>
      </c>
      <c r="J1661" s="18"/>
      <c r="K1661" s="18" t="s">
        <v>512</v>
      </c>
      <c r="L1661" s="25" t="s">
        <v>333</v>
      </c>
    </row>
    <row r="1662" hidden="1" customHeight="1" spans="1:12">
      <c r="A1662" s="14" t="str">
        <f t="shared" si="32"/>
        <v>0x00000500</v>
      </c>
      <c r="B1662" s="15">
        <f>SUM_HEX(C1661:F1661,B1661,3)</f>
        <v>1280</v>
      </c>
      <c r="C1662" s="16" t="s">
        <v>513</v>
      </c>
      <c r="D1662" s="16"/>
      <c r="E1662" s="16"/>
      <c r="F1662" s="16"/>
      <c r="G1662" s="47"/>
      <c r="H1662" s="47"/>
      <c r="I1662" s="18"/>
      <c r="J1662" s="18"/>
      <c r="K1662" s="18"/>
      <c r="L1662" s="25"/>
    </row>
    <row r="1663" hidden="1" customHeight="1" spans="1:12">
      <c r="A1663" s="14" t="str">
        <f t="shared" si="32"/>
        <v>0x00000504</v>
      </c>
      <c r="B1663" s="15">
        <f>SUM_HEX(C1662:F1662,B1662,3)</f>
        <v>1284</v>
      </c>
      <c r="C1663" s="16" t="s">
        <v>23</v>
      </c>
      <c r="D1663" s="16" t="s">
        <v>23</v>
      </c>
      <c r="E1663" s="16" t="s">
        <v>23</v>
      </c>
      <c r="F1663" s="16"/>
      <c r="G1663" s="47"/>
      <c r="H1663" s="47"/>
      <c r="I1663" s="18"/>
      <c r="J1663" s="18"/>
      <c r="K1663" s="18"/>
      <c r="L1663" s="25"/>
    </row>
    <row r="1664" hidden="1" customHeight="1" spans="1:12">
      <c r="A1664" s="14" t="str">
        <f t="shared" si="32"/>
        <v>0x00000510</v>
      </c>
      <c r="B1664" s="15">
        <f>SUM_HEX(C1663:F1663,B1663,3)</f>
        <v>1296</v>
      </c>
      <c r="C1664" s="16" t="s">
        <v>23</v>
      </c>
      <c r="D1664" s="16" t="s">
        <v>23</v>
      </c>
      <c r="E1664" s="16" t="s">
        <v>23</v>
      </c>
      <c r="F1664" s="16"/>
      <c r="G1664" s="47"/>
      <c r="H1664" s="47"/>
      <c r="I1664" s="18"/>
      <c r="J1664" s="18"/>
      <c r="K1664" s="18"/>
      <c r="L1664" s="25"/>
    </row>
    <row r="1665" hidden="1" customHeight="1" spans="1:12">
      <c r="A1665" s="14" t="str">
        <f t="shared" si="32"/>
        <v>0x0000051C</v>
      </c>
      <c r="B1665" s="15">
        <f>SUM_HEX(C1664:F1664,B1664,3)</f>
        <v>1308</v>
      </c>
      <c r="C1665" s="16" t="s">
        <v>274</v>
      </c>
      <c r="D1665" s="16"/>
      <c r="E1665" s="16"/>
      <c r="F1665" s="16"/>
      <c r="G1665" s="48"/>
      <c r="H1665" s="48"/>
      <c r="I1665" s="18"/>
      <c r="J1665" s="18"/>
      <c r="K1665" s="18"/>
      <c r="L1665" s="25"/>
    </row>
    <row r="1666" hidden="1" customHeight="1" spans="1:12">
      <c r="A1666" s="14" t="str">
        <f t="shared" si="32"/>
        <v>0x00000520</v>
      </c>
      <c r="B1666" s="15">
        <f>SUM_HEX(C1665:F1665,B1665,3)</f>
        <v>1312</v>
      </c>
      <c r="C1666" s="16" t="s">
        <v>23</v>
      </c>
      <c r="D1666" s="16"/>
      <c r="E1666" s="16"/>
      <c r="F1666" s="16"/>
      <c r="G1666" s="46" t="s">
        <v>157</v>
      </c>
      <c r="H1666" s="46" t="s">
        <v>508</v>
      </c>
      <c r="I1666" s="24" t="s">
        <v>514</v>
      </c>
      <c r="J1666" s="18"/>
      <c r="K1666" s="18"/>
      <c r="L1666" s="25"/>
    </row>
    <row r="1667" hidden="1" customHeight="1" spans="1:12">
      <c r="A1667" s="14" t="str">
        <f t="shared" si="32"/>
        <v>0x00000524</v>
      </c>
      <c r="B1667" s="15">
        <f>SUM_HEX(C1666:F1666,B1666,3)</f>
        <v>1316</v>
      </c>
      <c r="C1667" s="16" t="s">
        <v>515</v>
      </c>
      <c r="D1667" s="16"/>
      <c r="E1667" s="16"/>
      <c r="F1667" s="16"/>
      <c r="G1667" s="47"/>
      <c r="H1667" s="47"/>
      <c r="I1667" s="18"/>
      <c r="J1667" s="18"/>
      <c r="K1667" s="18"/>
      <c r="L1667" s="25"/>
    </row>
    <row r="1668" hidden="1" customHeight="1" spans="1:12">
      <c r="A1668" s="14" t="str">
        <f t="shared" si="32"/>
        <v>0x00000528</v>
      </c>
      <c r="B1668" s="15">
        <f>SUM_HEX(C1667:F1667,B1667,3)</f>
        <v>1320</v>
      </c>
      <c r="C1668" s="16" t="s">
        <v>148</v>
      </c>
      <c r="D1668" s="16" t="s">
        <v>148</v>
      </c>
      <c r="E1668" s="16"/>
      <c r="F1668" s="16"/>
      <c r="G1668" s="47"/>
      <c r="H1668" s="47"/>
      <c r="I1668" s="18"/>
      <c r="J1668" s="18"/>
      <c r="K1668" s="18"/>
      <c r="L1668" s="25"/>
    </row>
    <row r="1669" hidden="1" customHeight="1" spans="1:12">
      <c r="A1669" s="14" t="str">
        <f t="shared" si="32"/>
        <v>0x00000530</v>
      </c>
      <c r="B1669" s="15">
        <f>SUM_HEX(C1668:F1668,B1668,3)</f>
        <v>1328</v>
      </c>
      <c r="C1669" s="16" t="s">
        <v>148</v>
      </c>
      <c r="D1669" s="16" t="s">
        <v>148</v>
      </c>
      <c r="E1669" s="16"/>
      <c r="F1669" s="16"/>
      <c r="G1669" s="47"/>
      <c r="H1669" s="47"/>
      <c r="I1669" s="18"/>
      <c r="J1669" s="18"/>
      <c r="K1669" s="18"/>
      <c r="L1669" s="25"/>
    </row>
    <row r="1670" hidden="1" customHeight="1" spans="1:12">
      <c r="A1670" s="14" t="str">
        <f t="shared" si="32"/>
        <v>0x00000538</v>
      </c>
      <c r="B1670" s="15">
        <f>SUM_HEX(C1669:F1669,B1669,3)</f>
        <v>1336</v>
      </c>
      <c r="C1670" s="16" t="s">
        <v>274</v>
      </c>
      <c r="D1670" s="16"/>
      <c r="E1670" s="16"/>
      <c r="F1670" s="16"/>
      <c r="G1670" s="48"/>
      <c r="H1670" s="48"/>
      <c r="I1670" s="18"/>
      <c r="J1670" s="18"/>
      <c r="K1670" s="18"/>
      <c r="L1670" s="25"/>
    </row>
    <row r="1671" hidden="1" customHeight="1" spans="1:12">
      <c r="A1671" s="14" t="str">
        <f t="shared" si="32"/>
        <v>0x0000053C</v>
      </c>
      <c r="B1671" s="15">
        <f>SUM_HEX(C1670:F1670,B1670,3)</f>
        <v>1340</v>
      </c>
      <c r="C1671" s="16" t="s">
        <v>23</v>
      </c>
      <c r="D1671" s="16" t="s">
        <v>23</v>
      </c>
      <c r="E1671" s="16" t="s">
        <v>23</v>
      </c>
      <c r="F1671" s="16"/>
      <c r="G1671" s="18" t="s">
        <v>24</v>
      </c>
      <c r="H1671" s="18" t="s">
        <v>537</v>
      </c>
      <c r="I1671" s="24" t="s">
        <v>517</v>
      </c>
      <c r="J1671" s="18"/>
      <c r="K1671" s="18" t="s">
        <v>405</v>
      </c>
      <c r="L1671" s="25" t="s">
        <v>280</v>
      </c>
    </row>
    <row r="1672" hidden="1" customHeight="1" spans="1:12">
      <c r="A1672" s="14" t="str">
        <f t="shared" si="32"/>
        <v>0x00000548</v>
      </c>
      <c r="B1672" s="15">
        <f>SUM_HEX(C1671:F1671,B1671,3)</f>
        <v>1352</v>
      </c>
      <c r="C1672" s="16" t="s">
        <v>23</v>
      </c>
      <c r="D1672" s="16"/>
      <c r="E1672" s="16"/>
      <c r="F1672" s="16"/>
      <c r="G1672" s="18" t="s">
        <v>212</v>
      </c>
      <c r="H1672" s="18"/>
      <c r="I1672" s="24" t="s">
        <v>518</v>
      </c>
      <c r="J1672" s="18"/>
      <c r="K1672" s="18"/>
      <c r="L1672" s="25"/>
    </row>
    <row r="1673" hidden="1" customHeight="1" spans="1:12">
      <c r="A1673" s="14" t="str">
        <f t="shared" si="32"/>
        <v>0x0000054C</v>
      </c>
      <c r="B1673" s="15">
        <f>SUM_HEX(C1672:F1672,B1672,3)</f>
        <v>1356</v>
      </c>
      <c r="C1673" s="16" t="s">
        <v>29</v>
      </c>
      <c r="D1673" s="16"/>
      <c r="E1673" s="16"/>
      <c r="F1673" s="16"/>
      <c r="G1673" s="18" t="s">
        <v>15</v>
      </c>
      <c r="H1673" s="18"/>
      <c r="I1673" s="24" t="s">
        <v>519</v>
      </c>
      <c r="J1673" s="18"/>
      <c r="K1673" s="18" t="s">
        <v>520</v>
      </c>
      <c r="L1673" s="25"/>
    </row>
    <row r="1674" hidden="1" customHeight="1" spans="1:12">
      <c r="A1674" s="14" t="str">
        <f t="shared" si="32"/>
        <v>0x00000550</v>
      </c>
      <c r="B1674" s="15">
        <f>SUM_HEX(C1673:F1673,B1673,3)</f>
        <v>1360</v>
      </c>
      <c r="C1674" s="16" t="s">
        <v>23</v>
      </c>
      <c r="D1674" s="16"/>
      <c r="E1674" s="16"/>
      <c r="F1674" s="16"/>
      <c r="G1674" s="18" t="s">
        <v>15</v>
      </c>
      <c r="H1674" s="18"/>
      <c r="I1674" s="24" t="s">
        <v>521</v>
      </c>
      <c r="J1674" s="18"/>
      <c r="K1674" s="18" t="s">
        <v>520</v>
      </c>
      <c r="L1674" s="25"/>
    </row>
    <row r="1675" hidden="1" customHeight="1" spans="1:12">
      <c r="A1675" s="14" t="str">
        <f t="shared" si="32"/>
        <v>0x00000554</v>
      </c>
      <c r="B1675" s="15">
        <f>SUM_HEX(C1674:F1674,B1674,3)</f>
        <v>1364</v>
      </c>
      <c r="C1675" s="16" t="s">
        <v>23</v>
      </c>
      <c r="D1675" s="16"/>
      <c r="E1675" s="16"/>
      <c r="F1675" s="16"/>
      <c r="G1675" s="46" t="s">
        <v>157</v>
      </c>
      <c r="H1675" s="46" t="s">
        <v>212</v>
      </c>
      <c r="I1675" s="18" t="s">
        <v>522</v>
      </c>
      <c r="J1675" s="18"/>
      <c r="K1675" s="18"/>
      <c r="L1675" s="25"/>
    </row>
    <row r="1676" hidden="1" customHeight="1" spans="1:12">
      <c r="A1676" s="14" t="str">
        <f t="shared" si="32"/>
        <v>0x00000558</v>
      </c>
      <c r="B1676" s="15">
        <f>SUM_HEX(C1675:F1675,B1675,3)</f>
        <v>1368</v>
      </c>
      <c r="C1676" s="16" t="s">
        <v>523</v>
      </c>
      <c r="D1676" s="16"/>
      <c r="E1676" s="16"/>
      <c r="F1676" s="16"/>
      <c r="G1676" s="47"/>
      <c r="H1676" s="47"/>
      <c r="I1676" s="18"/>
      <c r="J1676" s="18"/>
      <c r="K1676" s="18"/>
      <c r="L1676" s="25"/>
    </row>
    <row r="1677" hidden="1" customHeight="1" spans="1:12">
      <c r="A1677" s="14" t="str">
        <f t="shared" si="32"/>
        <v>0x0000055C</v>
      </c>
      <c r="B1677" s="15">
        <f>SUM_HEX(C1676:F1676,B1676,3)</f>
        <v>1372</v>
      </c>
      <c r="C1677" s="16" t="s">
        <v>23</v>
      </c>
      <c r="D1677" s="16" t="s">
        <v>23</v>
      </c>
      <c r="E1677" s="16"/>
      <c r="F1677" s="16"/>
      <c r="G1677" s="47"/>
      <c r="H1677" s="47"/>
      <c r="I1677" s="18"/>
      <c r="J1677" s="18"/>
      <c r="K1677" s="18"/>
      <c r="L1677" s="25"/>
    </row>
    <row r="1678" hidden="1" customHeight="1" spans="1:12">
      <c r="A1678" s="14" t="str">
        <f t="shared" si="32"/>
        <v>0x00000564</v>
      </c>
      <c r="B1678" s="15">
        <f>SUM_HEX(C1677:F1677,B1677,3)</f>
        <v>1380</v>
      </c>
      <c r="C1678" s="16" t="s">
        <v>274</v>
      </c>
      <c r="D1678" s="16"/>
      <c r="E1678" s="16"/>
      <c r="F1678" s="16"/>
      <c r="G1678" s="48"/>
      <c r="H1678" s="48"/>
      <c r="I1678" s="18"/>
      <c r="J1678" s="18"/>
      <c r="K1678" s="18"/>
      <c r="L1678" s="25"/>
    </row>
    <row r="1679" hidden="1" customHeight="1" spans="1:12">
      <c r="A1679" s="14" t="str">
        <f t="shared" si="32"/>
        <v>0x00000568</v>
      </c>
      <c r="B1679" s="15">
        <f>SUM_HEX(C1678:F1678,B1678,3)</f>
        <v>1384</v>
      </c>
      <c r="C1679" s="16" t="s">
        <v>23</v>
      </c>
      <c r="D1679" s="16"/>
      <c r="E1679" s="16"/>
      <c r="F1679" s="16"/>
      <c r="G1679" s="46" t="s">
        <v>157</v>
      </c>
      <c r="H1679" s="46" t="s">
        <v>212</v>
      </c>
      <c r="I1679" s="18" t="s">
        <v>524</v>
      </c>
      <c r="J1679" s="18"/>
      <c r="K1679" s="18"/>
      <c r="L1679" s="25"/>
    </row>
    <row r="1680" hidden="1" customHeight="1" spans="1:12">
      <c r="A1680" s="14" t="str">
        <f t="shared" si="32"/>
        <v>0x0000056C</v>
      </c>
      <c r="B1680" s="15">
        <f>SUM_HEX(C1679:F1679,B1679,3)</f>
        <v>1388</v>
      </c>
      <c r="C1680" s="16" t="s">
        <v>525</v>
      </c>
      <c r="D1680" s="16"/>
      <c r="E1680" s="16"/>
      <c r="F1680" s="16"/>
      <c r="G1680" s="47"/>
      <c r="H1680" s="47"/>
      <c r="I1680" s="18"/>
      <c r="J1680" s="18"/>
      <c r="K1680" s="18"/>
      <c r="L1680" s="25"/>
    </row>
    <row r="1681" hidden="1" customHeight="1" spans="1:12">
      <c r="A1681" s="14" t="str">
        <f t="shared" si="32"/>
        <v>0x00000570</v>
      </c>
      <c r="B1681" s="15">
        <f>SUM_HEX(C1680:F1680,B1680,3)</f>
        <v>1392</v>
      </c>
      <c r="C1681" s="16" t="s">
        <v>148</v>
      </c>
      <c r="D1681" s="16" t="s">
        <v>23</v>
      </c>
      <c r="E1681" s="16"/>
      <c r="F1681" s="16"/>
      <c r="G1681" s="47"/>
      <c r="H1681" s="47"/>
      <c r="I1681" s="18"/>
      <c r="J1681" s="18"/>
      <c r="K1681" s="18"/>
      <c r="L1681" s="25"/>
    </row>
    <row r="1682" hidden="1" customHeight="1" spans="1:12">
      <c r="A1682" s="14" t="str">
        <f t="shared" si="32"/>
        <v>0x00000578</v>
      </c>
      <c r="B1682" s="15">
        <f>SUM_HEX(C1681:F1681,B1681,3)</f>
        <v>1400</v>
      </c>
      <c r="C1682" s="16" t="s">
        <v>274</v>
      </c>
      <c r="D1682" s="16"/>
      <c r="E1682" s="16"/>
      <c r="F1682" s="16"/>
      <c r="G1682" s="48"/>
      <c r="H1682" s="48"/>
      <c r="I1682" s="18"/>
      <c r="J1682" s="18"/>
      <c r="K1682" s="18"/>
      <c r="L1682" s="25"/>
    </row>
    <row r="1683" hidden="1" customHeight="1" spans="1:12">
      <c r="A1683" s="14" t="str">
        <f t="shared" si="32"/>
        <v>0x0000057C</v>
      </c>
      <c r="B1683" s="15">
        <f>SUM_HEX(C1682:F1682,B1682,3)</f>
        <v>1404</v>
      </c>
      <c r="C1683" s="16" t="s">
        <v>274</v>
      </c>
      <c r="D1683" s="16"/>
      <c r="E1683" s="16"/>
      <c r="F1683" s="16"/>
      <c r="G1683" s="18" t="s">
        <v>15</v>
      </c>
      <c r="H1683" s="18"/>
      <c r="I1683" s="24" t="s">
        <v>526</v>
      </c>
      <c r="J1683" s="18"/>
      <c r="K1683" s="18" t="s">
        <v>405</v>
      </c>
      <c r="L1683" s="25" t="s">
        <v>280</v>
      </c>
    </row>
    <row r="1684" hidden="1" customHeight="1" spans="1:12">
      <c r="A1684" s="14" t="str">
        <f t="shared" si="32"/>
        <v>0x00000580</v>
      </c>
      <c r="B1684" s="15">
        <f>SUM_HEX(C1683:F1683,B1683,3)</f>
        <v>1408</v>
      </c>
      <c r="C1684" s="16" t="s">
        <v>23</v>
      </c>
      <c r="D1684" s="16"/>
      <c r="E1684" s="16"/>
      <c r="F1684" s="16"/>
      <c r="G1684" s="18" t="s">
        <v>212</v>
      </c>
      <c r="H1684" s="18"/>
      <c r="I1684" s="24" t="s">
        <v>527</v>
      </c>
      <c r="J1684" s="18"/>
      <c r="K1684" s="18"/>
      <c r="L1684" s="25" t="s">
        <v>272</v>
      </c>
    </row>
    <row r="1685" hidden="1" customHeight="1" spans="1:12">
      <c r="A1685" s="14" t="str">
        <f t="shared" si="32"/>
        <v>0x00000584</v>
      </c>
      <c r="B1685" s="15">
        <f>SUM_HEX(C1684:F1684,B1684,3)</f>
        <v>1412</v>
      </c>
      <c r="C1685" s="16" t="s">
        <v>23</v>
      </c>
      <c r="D1685" s="16"/>
      <c r="E1685" s="16"/>
      <c r="F1685" s="16"/>
      <c r="G1685" s="46" t="s">
        <v>157</v>
      </c>
      <c r="H1685" s="46" t="s">
        <v>212</v>
      </c>
      <c r="I1685" s="18" t="s">
        <v>528</v>
      </c>
      <c r="J1685" s="18"/>
      <c r="K1685" s="18"/>
      <c r="L1685" s="25"/>
    </row>
    <row r="1686" hidden="1" customHeight="1" spans="1:12">
      <c r="A1686" s="14" t="str">
        <f t="shared" si="32"/>
        <v>0x00000588</v>
      </c>
      <c r="B1686" s="15">
        <f>SUM_HEX(C1685:F1685,B1685,3)</f>
        <v>1416</v>
      </c>
      <c r="C1686" s="16" t="s">
        <v>529</v>
      </c>
      <c r="D1686" s="16"/>
      <c r="E1686" s="16"/>
      <c r="F1686" s="16"/>
      <c r="G1686" s="47"/>
      <c r="H1686" s="47"/>
      <c r="I1686" s="18"/>
      <c r="J1686" s="18"/>
      <c r="K1686" s="18"/>
      <c r="L1686" s="25"/>
    </row>
    <row r="1687" hidden="1" customHeight="1" spans="1:12">
      <c r="A1687" s="14" t="str">
        <f t="shared" si="32"/>
        <v>0x0000058C</v>
      </c>
      <c r="B1687" s="15">
        <f>SUM_HEX(C1686:F1686,B1686,3)</f>
        <v>1420</v>
      </c>
      <c r="C1687" s="16" t="s">
        <v>23</v>
      </c>
      <c r="D1687" s="16" t="s">
        <v>23</v>
      </c>
      <c r="E1687" s="16"/>
      <c r="F1687" s="16"/>
      <c r="G1687" s="47"/>
      <c r="H1687" s="47"/>
      <c r="I1687" s="18"/>
      <c r="J1687" s="18"/>
      <c r="K1687" s="18"/>
      <c r="L1687" s="25"/>
    </row>
    <row r="1688" hidden="1" customHeight="1" spans="1:12">
      <c r="A1688" s="14" t="str">
        <f t="shared" si="32"/>
        <v>0x00000594</v>
      </c>
      <c r="B1688" s="15">
        <f>SUM_HEX(C1687:F1687,B1687,3)</f>
        <v>1428</v>
      </c>
      <c r="C1688" s="16" t="s">
        <v>274</v>
      </c>
      <c r="D1688" s="16"/>
      <c r="E1688" s="16"/>
      <c r="F1688" s="16"/>
      <c r="G1688" s="48"/>
      <c r="H1688" s="48"/>
      <c r="I1688" s="18"/>
      <c r="J1688" s="18"/>
      <c r="K1688" s="18"/>
      <c r="L1688" s="25"/>
    </row>
    <row r="1689" hidden="1" customHeight="1" spans="1:12">
      <c r="A1689" s="14" t="str">
        <f t="shared" si="32"/>
        <v>0x00000598</v>
      </c>
      <c r="B1689" s="15">
        <f>SUM_HEX(C1688:F1688,B1688,3)</f>
        <v>1432</v>
      </c>
      <c r="C1689" s="16" t="s">
        <v>274</v>
      </c>
      <c r="D1689" s="16"/>
      <c r="E1689" s="16"/>
      <c r="F1689" s="16"/>
      <c r="G1689" s="18" t="s">
        <v>15</v>
      </c>
      <c r="H1689" s="18"/>
      <c r="I1689" s="24" t="s">
        <v>530</v>
      </c>
      <c r="J1689" s="18"/>
      <c r="K1689" s="18" t="s">
        <v>405</v>
      </c>
      <c r="L1689" s="25" t="s">
        <v>280</v>
      </c>
    </row>
    <row r="1690" hidden="1" customHeight="1" spans="1:12">
      <c r="A1690" s="14" t="str">
        <f t="shared" si="32"/>
        <v>0x0000059C</v>
      </c>
      <c r="B1690" s="15">
        <f>SUM_HEX(C1689:F1689,B1689,3)</f>
        <v>1436</v>
      </c>
      <c r="C1690" s="16" t="s">
        <v>23</v>
      </c>
      <c r="D1690" s="16"/>
      <c r="E1690" s="16"/>
      <c r="F1690" s="16"/>
      <c r="G1690" s="18" t="s">
        <v>212</v>
      </c>
      <c r="H1690" s="18"/>
      <c r="I1690" s="24" t="s">
        <v>531</v>
      </c>
      <c r="J1690" s="18"/>
      <c r="K1690" s="18"/>
      <c r="L1690" s="25" t="s">
        <v>272</v>
      </c>
    </row>
    <row r="1691" hidden="1" customHeight="1" spans="1:12">
      <c r="A1691" s="14" t="str">
        <f t="shared" si="32"/>
        <v>0x000005A0</v>
      </c>
      <c r="B1691" s="15">
        <f>SUM_HEX(C1690:F1690,B1690,3)</f>
        <v>1440</v>
      </c>
      <c r="C1691" s="16" t="s">
        <v>23</v>
      </c>
      <c r="D1691" s="16" t="s">
        <v>23</v>
      </c>
      <c r="E1691" s="16" t="s">
        <v>23</v>
      </c>
      <c r="F1691" s="16"/>
      <c r="G1691" s="18" t="s">
        <v>24</v>
      </c>
      <c r="H1691" s="18" t="s">
        <v>538</v>
      </c>
      <c r="I1691" s="24" t="s">
        <v>533</v>
      </c>
      <c r="J1691" s="18"/>
      <c r="K1691" s="18"/>
      <c r="L1691" s="25"/>
    </row>
    <row r="1692" hidden="1" customHeight="1" spans="1:12">
      <c r="A1692" s="14" t="str">
        <f t="shared" si="32"/>
        <v>0x000005AC</v>
      </c>
      <c r="B1692" s="15">
        <f>SUM_HEX(C1691:F1691,B1691,3)</f>
        <v>1452</v>
      </c>
      <c r="C1692" s="16" t="s">
        <v>23</v>
      </c>
      <c r="D1692" s="16" t="s">
        <v>23</v>
      </c>
      <c r="E1692" s="16" t="s">
        <v>23</v>
      </c>
      <c r="F1692" s="16"/>
      <c r="G1692" s="18"/>
      <c r="H1692" s="18"/>
      <c r="I1692" s="24"/>
      <c r="J1692" s="18"/>
      <c r="K1692" s="18"/>
      <c r="L1692" s="25"/>
    </row>
    <row r="1693" customHeight="1" spans="1:12">
      <c r="A1693" s="14" t="str">
        <f t="shared" si="32"/>
        <v>0x000005B8</v>
      </c>
      <c r="B1693" s="15">
        <f>SUM_HEX(C1692:F1692,B1692,3)</f>
        <v>1464</v>
      </c>
      <c r="C1693" s="51" t="s">
        <v>23</v>
      </c>
      <c r="D1693" s="51"/>
      <c r="E1693" s="51"/>
      <c r="F1693" s="51"/>
      <c r="G1693" s="52"/>
      <c r="H1693" s="52"/>
      <c r="I1693" s="57"/>
      <c r="J1693" s="52"/>
      <c r="K1693" s="52"/>
      <c r="L1693" s="51"/>
    </row>
    <row r="1694" customHeight="1" spans="1:12">
      <c r="A1694" s="14" t="str">
        <f t="shared" si="32"/>
        <v>0x000005B8</v>
      </c>
      <c r="B1694" s="15">
        <f>SUM_HEX(C1693:F1693,B1693,3)</f>
        <v>1464</v>
      </c>
      <c r="C1694" s="51" t="s">
        <v>274</v>
      </c>
      <c r="D1694" s="51"/>
      <c r="E1694" s="51"/>
      <c r="F1694" s="51"/>
      <c r="G1694" s="52"/>
      <c r="H1694" s="52"/>
      <c r="I1694" s="57"/>
      <c r="J1694" s="52"/>
      <c r="K1694" s="52"/>
      <c r="L1694" s="51"/>
    </row>
    <row r="1696" customHeight="1" spans="1:3">
      <c r="A1696" s="7" t="s">
        <v>136</v>
      </c>
      <c r="B1696" s="8" t="s">
        <v>27</v>
      </c>
      <c r="C1696" s="9" t="s">
        <v>542</v>
      </c>
    </row>
    <row r="1697" customHeight="1" spans="1:12">
      <c r="A1697" s="10" t="s">
        <v>2</v>
      </c>
      <c r="B1697" s="11"/>
      <c r="C1697" s="12" t="s">
        <v>3</v>
      </c>
      <c r="D1697" s="12"/>
      <c r="E1697" s="12"/>
      <c r="F1697" s="12"/>
      <c r="G1697" s="13" t="s">
        <v>4</v>
      </c>
      <c r="H1697" s="13"/>
      <c r="I1697" s="20" t="s">
        <v>5</v>
      </c>
      <c r="J1697" s="13" t="s">
        <v>6</v>
      </c>
      <c r="K1697" s="13" t="s">
        <v>7</v>
      </c>
      <c r="L1697" s="21" t="s">
        <v>8</v>
      </c>
    </row>
    <row r="1698" hidden="1" customHeight="1" spans="1:12">
      <c r="A1698" s="14" t="str">
        <f t="shared" ref="A1698:A1700" si="33">"0x"&amp;DEC2HEX(B1698,8)</f>
        <v>0x00000000</v>
      </c>
      <c r="B1698" s="15">
        <f>0</f>
        <v>0</v>
      </c>
      <c r="C1698" s="16" t="s">
        <v>29</v>
      </c>
      <c r="D1698" s="16"/>
      <c r="E1698" s="16"/>
      <c r="F1698" s="16"/>
      <c r="G1698" s="18" t="s">
        <v>15</v>
      </c>
      <c r="H1698" s="18"/>
      <c r="I1698" s="24" t="s">
        <v>279</v>
      </c>
      <c r="J1698" s="18"/>
      <c r="K1698" s="18" t="s">
        <v>21</v>
      </c>
      <c r="L1698" s="25" t="s">
        <v>280</v>
      </c>
    </row>
    <row r="1699" hidden="1" customHeight="1" spans="1:12">
      <c r="A1699" s="14" t="str">
        <f t="shared" si="33"/>
        <v>0x00000004</v>
      </c>
      <c r="B1699" s="15">
        <f>SUM_HEX(C1698:F1698,B1698,3)</f>
        <v>4</v>
      </c>
      <c r="C1699" s="16" t="s">
        <v>22</v>
      </c>
      <c r="D1699" s="16"/>
      <c r="E1699" s="16"/>
      <c r="F1699" s="16"/>
      <c r="G1699" s="18" t="s">
        <v>15</v>
      </c>
      <c r="H1699" s="18"/>
      <c r="I1699" s="24" t="s">
        <v>281</v>
      </c>
      <c r="J1699" s="18"/>
      <c r="K1699" s="18" t="s">
        <v>21</v>
      </c>
      <c r="L1699" s="25" t="s">
        <v>280</v>
      </c>
    </row>
    <row r="1700" hidden="1" customHeight="1" spans="1:12">
      <c r="A1700" s="14" t="str">
        <f t="shared" si="33"/>
        <v>0x00000008</v>
      </c>
      <c r="B1700" s="15">
        <f>SUM_HEX(C1699:F1699,B1699,3)</f>
        <v>8</v>
      </c>
      <c r="C1700" s="16" t="s">
        <v>282</v>
      </c>
      <c r="D1700" s="16"/>
      <c r="E1700" s="16"/>
      <c r="F1700" s="16"/>
      <c r="G1700" s="18" t="s">
        <v>33</v>
      </c>
      <c r="H1700" s="18" t="s">
        <v>54</v>
      </c>
      <c r="I1700" s="24" t="s">
        <v>283</v>
      </c>
      <c r="J1700" s="24" t="s">
        <v>284</v>
      </c>
      <c r="K1700" s="18"/>
      <c r="L1700" s="25"/>
    </row>
    <row r="1701" hidden="1" customHeight="1" spans="1:12">
      <c r="A1701" s="14"/>
      <c r="B1701" s="15"/>
      <c r="C1701" s="16"/>
      <c r="D1701" s="16"/>
      <c r="E1701" s="16"/>
      <c r="F1701" s="16"/>
      <c r="G1701" s="18"/>
      <c r="H1701" s="18" t="s">
        <v>57</v>
      </c>
      <c r="I1701" s="24"/>
      <c r="J1701" s="24" t="s">
        <v>285</v>
      </c>
      <c r="K1701" s="18"/>
      <c r="L1701" s="25"/>
    </row>
    <row r="1702" hidden="1" customHeight="1" spans="1:12">
      <c r="A1702" s="14"/>
      <c r="B1702" s="15"/>
      <c r="C1702" s="16"/>
      <c r="D1702" s="16"/>
      <c r="E1702" s="16"/>
      <c r="F1702" s="16"/>
      <c r="G1702" s="18"/>
      <c r="H1702" s="18" t="s">
        <v>58</v>
      </c>
      <c r="I1702" s="24"/>
      <c r="J1702" s="24" t="s">
        <v>286</v>
      </c>
      <c r="K1702" s="18"/>
      <c r="L1702" s="25"/>
    </row>
    <row r="1703" hidden="1" customHeight="1" spans="1:12">
      <c r="A1703" s="14"/>
      <c r="B1703" s="15"/>
      <c r="C1703" s="16"/>
      <c r="D1703" s="16"/>
      <c r="E1703" s="16"/>
      <c r="F1703" s="16"/>
      <c r="G1703" s="18"/>
      <c r="H1703" s="18" t="s">
        <v>59</v>
      </c>
      <c r="I1703" s="24"/>
      <c r="J1703" s="24" t="s">
        <v>287</v>
      </c>
      <c r="K1703" s="18"/>
      <c r="L1703" s="25"/>
    </row>
    <row r="1704" hidden="1" customHeight="1" spans="1:12">
      <c r="A1704" s="14" t="str">
        <f t="shared" ref="A1704:A1767" si="34">"0x"&amp;DEC2HEX(B1704,8)</f>
        <v>0x0000000C</v>
      </c>
      <c r="B1704" s="15">
        <f>SUM_HEX(C1700:F1703,B1700,3)</f>
        <v>12</v>
      </c>
      <c r="C1704" s="26" t="s">
        <v>23</v>
      </c>
      <c r="D1704" s="16"/>
      <c r="E1704" s="16"/>
      <c r="F1704" s="16"/>
      <c r="G1704" s="46" t="s">
        <v>157</v>
      </c>
      <c r="H1704" s="46" t="s">
        <v>212</v>
      </c>
      <c r="I1704" s="24" t="s">
        <v>288</v>
      </c>
      <c r="J1704" s="18"/>
      <c r="K1704" s="18" t="s">
        <v>289</v>
      </c>
      <c r="L1704" s="25" t="s">
        <v>272</v>
      </c>
    </row>
    <row r="1705" hidden="1" customHeight="1" spans="1:12">
      <c r="A1705" s="14" t="str">
        <f t="shared" si="34"/>
        <v>0x00000010</v>
      </c>
      <c r="B1705" s="15">
        <f>SUM_HEX(C1704:F1704,B1704,3)</f>
        <v>16</v>
      </c>
      <c r="C1705" s="16" t="s">
        <v>290</v>
      </c>
      <c r="D1705" s="16"/>
      <c r="E1705" s="16"/>
      <c r="F1705" s="16"/>
      <c r="G1705" s="47"/>
      <c r="H1705" s="47"/>
      <c r="I1705" s="24"/>
      <c r="J1705" s="18"/>
      <c r="K1705" s="18"/>
      <c r="L1705" s="25"/>
    </row>
    <row r="1706" hidden="1" customHeight="1" spans="1:12">
      <c r="A1706" s="14" t="str">
        <f t="shared" si="34"/>
        <v>0x00000014</v>
      </c>
      <c r="B1706" s="15">
        <f>SUM_HEX(C1705:F1705,B1705,3)</f>
        <v>20</v>
      </c>
      <c r="C1706" s="16" t="s">
        <v>148</v>
      </c>
      <c r="D1706" s="16" t="s">
        <v>23</v>
      </c>
      <c r="E1706" s="16"/>
      <c r="F1706" s="16"/>
      <c r="G1706" s="47"/>
      <c r="H1706" s="47"/>
      <c r="I1706" s="24"/>
      <c r="J1706" s="18"/>
      <c r="K1706" s="18"/>
      <c r="L1706" s="25"/>
    </row>
    <row r="1707" hidden="1" customHeight="1" spans="1:12">
      <c r="A1707" s="14" t="str">
        <f t="shared" si="34"/>
        <v>0x0000001C</v>
      </c>
      <c r="B1707" s="15">
        <f>SUM_HEX(C1706:F1706,B1706,3)</f>
        <v>28</v>
      </c>
      <c r="C1707" s="16" t="s">
        <v>274</v>
      </c>
      <c r="D1707" s="16"/>
      <c r="E1707" s="16"/>
      <c r="F1707" s="16"/>
      <c r="G1707" s="48"/>
      <c r="H1707" s="48"/>
      <c r="I1707" s="24"/>
      <c r="J1707" s="18"/>
      <c r="K1707" s="18"/>
      <c r="L1707" s="25"/>
    </row>
    <row r="1708" hidden="1" customHeight="1" spans="1:12">
      <c r="A1708" s="14" t="str">
        <f t="shared" si="34"/>
        <v>0x00000020</v>
      </c>
      <c r="B1708" s="15">
        <f>SUM_HEX(C1707:F1707,B1707,3)</f>
        <v>32</v>
      </c>
      <c r="C1708" s="16" t="s">
        <v>23</v>
      </c>
      <c r="D1708" s="16"/>
      <c r="E1708" s="16"/>
      <c r="F1708" s="16"/>
      <c r="G1708" s="46" t="s">
        <v>157</v>
      </c>
      <c r="H1708" s="46" t="s">
        <v>212</v>
      </c>
      <c r="I1708" s="24" t="s">
        <v>291</v>
      </c>
      <c r="J1708" s="18"/>
      <c r="K1708" s="18" t="s">
        <v>289</v>
      </c>
      <c r="L1708" s="25" t="s">
        <v>272</v>
      </c>
    </row>
    <row r="1709" hidden="1" customHeight="1" spans="1:12">
      <c r="A1709" s="14" t="str">
        <f t="shared" si="34"/>
        <v>0x00000024</v>
      </c>
      <c r="B1709" s="15">
        <f>SUM_HEX(C1708:F1708,B1708,3)</f>
        <v>36</v>
      </c>
      <c r="C1709" s="16" t="s">
        <v>292</v>
      </c>
      <c r="D1709" s="16"/>
      <c r="E1709" s="16"/>
      <c r="F1709" s="16"/>
      <c r="G1709" s="47"/>
      <c r="H1709" s="47"/>
      <c r="I1709" s="24"/>
      <c r="J1709" s="18"/>
      <c r="K1709" s="18"/>
      <c r="L1709" s="25"/>
    </row>
    <row r="1710" hidden="1" customHeight="1" spans="1:12">
      <c r="A1710" s="14" t="str">
        <f t="shared" si="34"/>
        <v>0x00000028</v>
      </c>
      <c r="B1710" s="15">
        <f>SUM_HEX(C1709:F1709,B1709,3)</f>
        <v>40</v>
      </c>
      <c r="C1710" s="16" t="s">
        <v>148</v>
      </c>
      <c r="D1710" s="16" t="s">
        <v>23</v>
      </c>
      <c r="E1710" s="16"/>
      <c r="F1710" s="16"/>
      <c r="G1710" s="47"/>
      <c r="H1710" s="47"/>
      <c r="I1710" s="24"/>
      <c r="J1710" s="18"/>
      <c r="K1710" s="18"/>
      <c r="L1710" s="25"/>
    </row>
    <row r="1711" hidden="1" customHeight="1" spans="1:12">
      <c r="A1711" s="14" t="str">
        <f t="shared" si="34"/>
        <v>0x00000030</v>
      </c>
      <c r="B1711" s="15">
        <f>SUM_HEX(C1710:F1710,B1710,3)</f>
        <v>48</v>
      </c>
      <c r="C1711" s="16" t="s">
        <v>274</v>
      </c>
      <c r="D1711" s="16"/>
      <c r="E1711" s="16"/>
      <c r="F1711" s="16"/>
      <c r="G1711" s="48"/>
      <c r="H1711" s="48"/>
      <c r="I1711" s="24"/>
      <c r="J1711" s="18"/>
      <c r="K1711" s="18"/>
      <c r="L1711" s="25"/>
    </row>
    <row r="1712" hidden="1" customHeight="1" spans="1:12">
      <c r="A1712" s="14" t="str">
        <f t="shared" si="34"/>
        <v>0x00000034</v>
      </c>
      <c r="B1712" s="15">
        <f>SUM_HEX(C1711:F1711,B1711,3)</f>
        <v>52</v>
      </c>
      <c r="C1712" s="16" t="s">
        <v>23</v>
      </c>
      <c r="D1712" s="16"/>
      <c r="E1712" s="16"/>
      <c r="F1712" s="16"/>
      <c r="G1712" s="46" t="s">
        <v>157</v>
      </c>
      <c r="H1712" s="46" t="s">
        <v>212</v>
      </c>
      <c r="I1712" s="24" t="s">
        <v>293</v>
      </c>
      <c r="J1712" s="18"/>
      <c r="K1712" s="18" t="s">
        <v>294</v>
      </c>
      <c r="L1712" s="25"/>
    </row>
    <row r="1713" hidden="1" customHeight="1" spans="1:12">
      <c r="A1713" s="14" t="str">
        <f t="shared" si="34"/>
        <v>0x00000038</v>
      </c>
      <c r="B1713" s="15">
        <f>SUM_HEX(C1712:F1712,B1712,3)</f>
        <v>56</v>
      </c>
      <c r="C1713" s="16" t="s">
        <v>295</v>
      </c>
      <c r="D1713" s="16"/>
      <c r="E1713" s="16"/>
      <c r="F1713" s="16"/>
      <c r="G1713" s="47"/>
      <c r="H1713" s="47"/>
      <c r="I1713" s="24"/>
      <c r="J1713" s="18"/>
      <c r="K1713" s="18"/>
      <c r="L1713" s="25"/>
    </row>
    <row r="1714" hidden="1" customHeight="1" spans="1:12">
      <c r="A1714" s="14" t="str">
        <f t="shared" si="34"/>
        <v>0x0000003C</v>
      </c>
      <c r="B1714" s="15">
        <f>SUM_HEX(C1713:F1713,B1713,3)</f>
        <v>60</v>
      </c>
      <c r="C1714" s="16" t="s">
        <v>23</v>
      </c>
      <c r="D1714" s="16" t="s">
        <v>23</v>
      </c>
      <c r="E1714" s="16"/>
      <c r="F1714" s="16"/>
      <c r="G1714" s="47"/>
      <c r="H1714" s="47"/>
      <c r="I1714" s="24"/>
      <c r="J1714" s="18"/>
      <c r="K1714" s="18"/>
      <c r="L1714" s="25"/>
    </row>
    <row r="1715" hidden="1" customHeight="1" spans="1:12">
      <c r="A1715" s="14" t="str">
        <f t="shared" si="34"/>
        <v>0x00000044</v>
      </c>
      <c r="B1715" s="15">
        <f>SUM_HEX(C1714:F1714,B1714,3)</f>
        <v>68</v>
      </c>
      <c r="C1715" s="16" t="s">
        <v>274</v>
      </c>
      <c r="D1715" s="16"/>
      <c r="E1715" s="16"/>
      <c r="F1715" s="16"/>
      <c r="G1715" s="48"/>
      <c r="H1715" s="48"/>
      <c r="I1715" s="24"/>
      <c r="J1715" s="18"/>
      <c r="K1715" s="18"/>
      <c r="L1715" s="25"/>
    </row>
    <row r="1716" hidden="1" customHeight="1" spans="1:12">
      <c r="A1716" s="14" t="str">
        <f t="shared" si="34"/>
        <v>0x00000048</v>
      </c>
      <c r="B1716" s="15">
        <f>SUM_HEX(C1715:F1715,B1715,3)</f>
        <v>72</v>
      </c>
      <c r="C1716" s="16" t="s">
        <v>23</v>
      </c>
      <c r="D1716" s="16"/>
      <c r="E1716" s="16"/>
      <c r="F1716" s="16"/>
      <c r="G1716" s="46" t="s">
        <v>157</v>
      </c>
      <c r="H1716" s="46" t="s">
        <v>212</v>
      </c>
      <c r="I1716" s="24" t="s">
        <v>296</v>
      </c>
      <c r="J1716" s="18"/>
      <c r="K1716" s="18" t="s">
        <v>294</v>
      </c>
      <c r="L1716" s="25"/>
    </row>
    <row r="1717" hidden="1" customHeight="1" spans="1:12">
      <c r="A1717" s="14" t="str">
        <f t="shared" si="34"/>
        <v>0x0000004C</v>
      </c>
      <c r="B1717" s="15">
        <f>SUM_HEX(C1716:F1716,B1716,3)</f>
        <v>76</v>
      </c>
      <c r="C1717" s="16" t="s">
        <v>297</v>
      </c>
      <c r="D1717" s="16"/>
      <c r="E1717" s="16"/>
      <c r="F1717" s="16"/>
      <c r="G1717" s="47"/>
      <c r="H1717" s="47"/>
      <c r="I1717" s="24"/>
      <c r="J1717" s="18"/>
      <c r="K1717" s="18"/>
      <c r="L1717" s="25"/>
    </row>
    <row r="1718" hidden="1" customHeight="1" spans="1:12">
      <c r="A1718" s="14" t="str">
        <f t="shared" si="34"/>
        <v>0x00000050</v>
      </c>
      <c r="B1718" s="15">
        <f>SUM_HEX(C1717:F1717,B1717,3)</f>
        <v>80</v>
      </c>
      <c r="C1718" s="16" t="s">
        <v>23</v>
      </c>
      <c r="D1718" s="16" t="s">
        <v>23</v>
      </c>
      <c r="E1718" s="16"/>
      <c r="F1718" s="16"/>
      <c r="G1718" s="47"/>
      <c r="H1718" s="47"/>
      <c r="I1718" s="24"/>
      <c r="J1718" s="18"/>
      <c r="K1718" s="18"/>
      <c r="L1718" s="25"/>
    </row>
    <row r="1719" hidden="1" customHeight="1" spans="1:12">
      <c r="A1719" s="14" t="str">
        <f t="shared" si="34"/>
        <v>0x00000058</v>
      </c>
      <c r="B1719" s="15">
        <f>SUM_HEX(C1718:F1718,B1718,3)</f>
        <v>88</v>
      </c>
      <c r="C1719" s="16" t="s">
        <v>274</v>
      </c>
      <c r="D1719" s="16"/>
      <c r="E1719" s="16"/>
      <c r="F1719" s="16"/>
      <c r="G1719" s="48"/>
      <c r="H1719" s="48"/>
      <c r="I1719" s="24"/>
      <c r="J1719" s="18"/>
      <c r="K1719" s="18"/>
      <c r="L1719" s="25"/>
    </row>
    <row r="1720" hidden="1" customHeight="1" spans="1:12">
      <c r="A1720" s="14" t="str">
        <f t="shared" si="34"/>
        <v>0x0000005C</v>
      </c>
      <c r="B1720" s="15">
        <f>SUM_HEX(C1719:F1719,B1719,3)</f>
        <v>92</v>
      </c>
      <c r="C1720" s="16" t="s">
        <v>23</v>
      </c>
      <c r="D1720" s="16"/>
      <c r="E1720" s="16"/>
      <c r="F1720" s="16"/>
      <c r="G1720" s="46" t="s">
        <v>157</v>
      </c>
      <c r="H1720" s="46" t="s">
        <v>212</v>
      </c>
      <c r="I1720" s="24" t="s">
        <v>298</v>
      </c>
      <c r="J1720" s="18"/>
      <c r="K1720" s="18" t="s">
        <v>299</v>
      </c>
      <c r="L1720" s="25" t="s">
        <v>300</v>
      </c>
    </row>
    <row r="1721" hidden="1" customHeight="1" spans="1:12">
      <c r="A1721" s="14" t="str">
        <f t="shared" si="34"/>
        <v>0x00000060</v>
      </c>
      <c r="B1721" s="15">
        <f>SUM_HEX(C1720:F1720,B1720,3)</f>
        <v>96</v>
      </c>
      <c r="C1721" s="16" t="s">
        <v>301</v>
      </c>
      <c r="D1721" s="16"/>
      <c r="E1721" s="16"/>
      <c r="F1721" s="16"/>
      <c r="G1721" s="47"/>
      <c r="H1721" s="47"/>
      <c r="I1721" s="24"/>
      <c r="J1721" s="18"/>
      <c r="K1721" s="18"/>
      <c r="L1721" s="25"/>
    </row>
    <row r="1722" hidden="1" customHeight="1" spans="1:12">
      <c r="A1722" s="14" t="str">
        <f t="shared" si="34"/>
        <v>0x00000064</v>
      </c>
      <c r="B1722" s="15">
        <f>SUM_HEX(C1721:F1721,B1721,3)</f>
        <v>100</v>
      </c>
      <c r="C1722" s="16" t="s">
        <v>23</v>
      </c>
      <c r="D1722" s="16" t="s">
        <v>23</v>
      </c>
      <c r="E1722" s="16"/>
      <c r="F1722" s="16"/>
      <c r="G1722" s="47"/>
      <c r="H1722" s="47"/>
      <c r="I1722" s="24"/>
      <c r="J1722" s="18"/>
      <c r="K1722" s="18"/>
      <c r="L1722" s="25"/>
    </row>
    <row r="1723" hidden="1" customHeight="1" spans="1:12">
      <c r="A1723" s="14" t="str">
        <f t="shared" si="34"/>
        <v>0x0000006C</v>
      </c>
      <c r="B1723" s="15">
        <f>SUM_HEX(C1722:F1722,B1722,3)</f>
        <v>108</v>
      </c>
      <c r="C1723" s="16" t="s">
        <v>274</v>
      </c>
      <c r="D1723" s="16"/>
      <c r="E1723" s="16"/>
      <c r="F1723" s="16"/>
      <c r="G1723" s="48"/>
      <c r="H1723" s="48"/>
      <c r="I1723" s="24"/>
      <c r="J1723" s="18"/>
      <c r="K1723" s="18"/>
      <c r="L1723" s="25"/>
    </row>
    <row r="1724" hidden="1" customHeight="1" spans="1:12">
      <c r="A1724" s="14" t="str">
        <f t="shared" si="34"/>
        <v>0x00000070</v>
      </c>
      <c r="B1724" s="15">
        <f>SUM_HEX(C1723:F1723,B1723,3)</f>
        <v>112</v>
      </c>
      <c r="C1724" s="16" t="s">
        <v>23</v>
      </c>
      <c r="D1724" s="16"/>
      <c r="E1724" s="16"/>
      <c r="F1724" s="16"/>
      <c r="G1724" s="46" t="s">
        <v>157</v>
      </c>
      <c r="H1724" s="46" t="s">
        <v>212</v>
      </c>
      <c r="I1724" s="24" t="s">
        <v>302</v>
      </c>
      <c r="J1724" s="18"/>
      <c r="K1724" s="18" t="s">
        <v>299</v>
      </c>
      <c r="L1724" s="25" t="s">
        <v>300</v>
      </c>
    </row>
    <row r="1725" hidden="1" customHeight="1" spans="1:12">
      <c r="A1725" s="14" t="str">
        <f t="shared" si="34"/>
        <v>0x00000074</v>
      </c>
      <c r="B1725" s="15">
        <f>SUM_HEX(C1724:F1724,B1724,3)</f>
        <v>116</v>
      </c>
      <c r="C1725" s="16" t="s">
        <v>303</v>
      </c>
      <c r="D1725" s="16"/>
      <c r="E1725" s="16"/>
      <c r="F1725" s="16"/>
      <c r="G1725" s="47"/>
      <c r="H1725" s="47"/>
      <c r="I1725" s="24"/>
      <c r="J1725" s="18"/>
      <c r="K1725" s="18"/>
      <c r="L1725" s="25"/>
    </row>
    <row r="1726" hidden="1" customHeight="1" spans="1:12">
      <c r="A1726" s="14" t="str">
        <f t="shared" si="34"/>
        <v>0x00000078</v>
      </c>
      <c r="B1726" s="15">
        <f>SUM_HEX(C1725:F1725,B1725,3)</f>
        <v>120</v>
      </c>
      <c r="C1726" s="16" t="s">
        <v>23</v>
      </c>
      <c r="D1726" s="16" t="s">
        <v>23</v>
      </c>
      <c r="E1726" s="16"/>
      <c r="F1726" s="16"/>
      <c r="G1726" s="47"/>
      <c r="H1726" s="47"/>
      <c r="I1726" s="24"/>
      <c r="J1726" s="18"/>
      <c r="K1726" s="18"/>
      <c r="L1726" s="25"/>
    </row>
    <row r="1727" hidden="1" customHeight="1" spans="1:12">
      <c r="A1727" s="14" t="str">
        <f t="shared" si="34"/>
        <v>0x00000080</v>
      </c>
      <c r="B1727" s="15">
        <f>SUM_HEX(C1726:F1726,B1726,3)</f>
        <v>128</v>
      </c>
      <c r="C1727" s="16" t="s">
        <v>274</v>
      </c>
      <c r="D1727" s="16"/>
      <c r="E1727" s="16"/>
      <c r="F1727" s="16"/>
      <c r="G1727" s="48"/>
      <c r="H1727" s="48"/>
      <c r="I1727" s="24"/>
      <c r="J1727" s="18"/>
      <c r="K1727" s="18"/>
      <c r="L1727" s="25"/>
    </row>
    <row r="1728" hidden="1" customHeight="1" spans="1:12">
      <c r="A1728" s="14" t="str">
        <f t="shared" si="34"/>
        <v>0x00000084</v>
      </c>
      <c r="B1728" s="15">
        <f>SUM_HEX(C1727:F1727,B1727,3)</f>
        <v>132</v>
      </c>
      <c r="C1728" s="16" t="s">
        <v>23</v>
      </c>
      <c r="D1728" s="16"/>
      <c r="E1728" s="16"/>
      <c r="F1728" s="16"/>
      <c r="G1728" s="46" t="s">
        <v>157</v>
      </c>
      <c r="H1728" s="46" t="s">
        <v>212</v>
      </c>
      <c r="I1728" s="24" t="s">
        <v>304</v>
      </c>
      <c r="J1728" s="18"/>
      <c r="K1728" s="18" t="s">
        <v>305</v>
      </c>
      <c r="L1728" s="25"/>
    </row>
    <row r="1729" hidden="1" customHeight="1" spans="1:12">
      <c r="A1729" s="14" t="str">
        <f t="shared" si="34"/>
        <v>0x00000088</v>
      </c>
      <c r="B1729" s="15">
        <f>SUM_HEX(C1728:F1728,B1728,3)</f>
        <v>136</v>
      </c>
      <c r="C1729" s="16" t="s">
        <v>306</v>
      </c>
      <c r="D1729" s="16"/>
      <c r="E1729" s="16"/>
      <c r="F1729" s="16"/>
      <c r="G1729" s="47"/>
      <c r="H1729" s="47"/>
      <c r="I1729" s="24"/>
      <c r="J1729" s="18"/>
      <c r="K1729" s="18"/>
      <c r="L1729" s="25"/>
    </row>
    <row r="1730" hidden="1" customHeight="1" spans="1:12">
      <c r="A1730" s="14" t="str">
        <f t="shared" si="34"/>
        <v>0x0000008C</v>
      </c>
      <c r="B1730" s="15">
        <f>SUM_HEX(C1729:F1729,B1729,3)</f>
        <v>140</v>
      </c>
      <c r="C1730" s="16" t="s">
        <v>307</v>
      </c>
      <c r="D1730" s="16" t="s">
        <v>23</v>
      </c>
      <c r="E1730" s="16"/>
      <c r="F1730" s="16"/>
      <c r="G1730" s="47"/>
      <c r="H1730" s="47"/>
      <c r="I1730" s="24"/>
      <c r="J1730" s="18"/>
      <c r="K1730" s="18"/>
      <c r="L1730" s="25"/>
    </row>
    <row r="1731" hidden="1" customHeight="1" spans="1:12">
      <c r="A1731" s="14" t="str">
        <f t="shared" si="34"/>
        <v>0x00000094</v>
      </c>
      <c r="B1731" s="15">
        <f>SUM_HEX(C1730:F1730,B1730,3)</f>
        <v>148</v>
      </c>
      <c r="C1731" s="16" t="s">
        <v>274</v>
      </c>
      <c r="D1731" s="16"/>
      <c r="E1731" s="16"/>
      <c r="F1731" s="16"/>
      <c r="G1731" s="48"/>
      <c r="H1731" s="48"/>
      <c r="I1731" s="24"/>
      <c r="J1731" s="18"/>
      <c r="K1731" s="18"/>
      <c r="L1731" s="25"/>
    </row>
    <row r="1732" hidden="1" customHeight="1" spans="1:12">
      <c r="A1732" s="14" t="str">
        <f t="shared" si="34"/>
        <v>0x00000098</v>
      </c>
      <c r="B1732" s="15">
        <f>SUM_HEX(C1731:F1731,B1731,3)</f>
        <v>152</v>
      </c>
      <c r="C1732" s="16" t="s">
        <v>23</v>
      </c>
      <c r="D1732" s="16"/>
      <c r="E1732" s="16"/>
      <c r="F1732" s="16"/>
      <c r="G1732" s="46" t="s">
        <v>157</v>
      </c>
      <c r="H1732" s="46" t="s">
        <v>212</v>
      </c>
      <c r="I1732" s="24" t="s">
        <v>308</v>
      </c>
      <c r="J1732" s="18"/>
      <c r="K1732" s="18" t="s">
        <v>305</v>
      </c>
      <c r="L1732" s="25"/>
    </row>
    <row r="1733" hidden="1" customHeight="1" spans="1:12">
      <c r="A1733" s="14" t="str">
        <f t="shared" si="34"/>
        <v>0x0000009C</v>
      </c>
      <c r="B1733" s="15">
        <f>SUM_HEX(C1732:F1732,B1732,3)</f>
        <v>156</v>
      </c>
      <c r="C1733" s="16" t="s">
        <v>309</v>
      </c>
      <c r="D1733" s="16"/>
      <c r="E1733" s="16"/>
      <c r="F1733" s="16"/>
      <c r="G1733" s="47"/>
      <c r="H1733" s="47"/>
      <c r="I1733" s="24"/>
      <c r="J1733" s="18"/>
      <c r="K1733" s="18"/>
      <c r="L1733" s="25"/>
    </row>
    <row r="1734" hidden="1" customHeight="1" spans="1:12">
      <c r="A1734" s="14" t="str">
        <f t="shared" si="34"/>
        <v>0x000000A0</v>
      </c>
      <c r="B1734" s="15">
        <f>SUM_HEX(C1733:F1733,B1733,3)</f>
        <v>160</v>
      </c>
      <c r="C1734" s="16" t="s">
        <v>307</v>
      </c>
      <c r="D1734" s="16" t="s">
        <v>23</v>
      </c>
      <c r="E1734" s="16"/>
      <c r="F1734" s="16"/>
      <c r="G1734" s="47"/>
      <c r="H1734" s="47"/>
      <c r="I1734" s="24"/>
      <c r="J1734" s="18"/>
      <c r="K1734" s="18"/>
      <c r="L1734" s="25"/>
    </row>
    <row r="1735" hidden="1" customHeight="1" spans="1:12">
      <c r="A1735" s="14" t="str">
        <f t="shared" si="34"/>
        <v>0x000000A8</v>
      </c>
      <c r="B1735" s="15">
        <f>SUM_HEX(C1734:F1734,B1734,3)</f>
        <v>168</v>
      </c>
      <c r="C1735" s="16" t="s">
        <v>274</v>
      </c>
      <c r="D1735" s="16"/>
      <c r="E1735" s="16"/>
      <c r="F1735" s="16"/>
      <c r="G1735" s="48"/>
      <c r="H1735" s="48"/>
      <c r="I1735" s="24"/>
      <c r="J1735" s="18"/>
      <c r="K1735" s="18"/>
      <c r="L1735" s="25"/>
    </row>
    <row r="1736" hidden="1" customHeight="1" spans="1:12">
      <c r="A1736" s="14" t="str">
        <f t="shared" si="34"/>
        <v>0x000000AC</v>
      </c>
      <c r="B1736" s="15">
        <f>SUM_HEX(C1735:F1735,B1735,3)</f>
        <v>172</v>
      </c>
      <c r="C1736" s="16" t="s">
        <v>23</v>
      </c>
      <c r="D1736" s="16"/>
      <c r="E1736" s="16"/>
      <c r="F1736" s="16"/>
      <c r="G1736" s="18" t="s">
        <v>212</v>
      </c>
      <c r="H1736" s="18"/>
      <c r="I1736" s="24" t="s">
        <v>310</v>
      </c>
      <c r="J1736" s="18"/>
      <c r="K1736" s="18" t="s">
        <v>311</v>
      </c>
      <c r="L1736" s="25"/>
    </row>
    <row r="1737" hidden="1" customHeight="1" spans="1:12">
      <c r="A1737" s="14" t="str">
        <f t="shared" si="34"/>
        <v>0x000000B0</v>
      </c>
      <c r="B1737" s="15">
        <f>SUM_HEX(C1736:F1736,B1736,3)</f>
        <v>176</v>
      </c>
      <c r="C1737" s="16" t="s">
        <v>23</v>
      </c>
      <c r="D1737" s="16" t="s">
        <v>23</v>
      </c>
      <c r="E1737" s="16"/>
      <c r="F1737" s="16"/>
      <c r="G1737" s="17"/>
      <c r="H1737" s="17"/>
      <c r="I1737" s="22"/>
      <c r="J1737" s="17"/>
      <c r="K1737" s="17"/>
      <c r="L1737" s="23"/>
    </row>
    <row r="1738" hidden="1" customHeight="1" spans="1:12">
      <c r="A1738" s="14" t="str">
        <f t="shared" si="34"/>
        <v>0x000000B8</v>
      </c>
      <c r="B1738" s="15">
        <f>SUM_HEX(C1737:F1737,B1737,3)</f>
        <v>184</v>
      </c>
      <c r="C1738" s="16" t="s">
        <v>312</v>
      </c>
      <c r="D1738" s="16"/>
      <c r="E1738" s="16"/>
      <c r="F1738" s="16"/>
      <c r="G1738" s="18" t="s">
        <v>212</v>
      </c>
      <c r="H1738" s="18"/>
      <c r="I1738" s="24" t="s">
        <v>313</v>
      </c>
      <c r="J1738" s="18"/>
      <c r="K1738" s="18" t="s">
        <v>314</v>
      </c>
      <c r="L1738" s="25" t="s">
        <v>315</v>
      </c>
    </row>
    <row r="1739" hidden="1" customHeight="1" spans="1:12">
      <c r="A1739" s="14" t="str">
        <f t="shared" si="34"/>
        <v>0x000000BC</v>
      </c>
      <c r="B1739" s="15">
        <f>SUM_HEX(C1738:F1738,B1738,3)</f>
        <v>188</v>
      </c>
      <c r="C1739" s="16" t="s">
        <v>316</v>
      </c>
      <c r="D1739" s="16"/>
      <c r="E1739" s="16"/>
      <c r="F1739" s="16"/>
      <c r="G1739" s="18" t="s">
        <v>212</v>
      </c>
      <c r="H1739" s="18"/>
      <c r="I1739" s="49" t="s">
        <v>317</v>
      </c>
      <c r="J1739" s="18"/>
      <c r="K1739" s="18" t="s">
        <v>318</v>
      </c>
      <c r="L1739" s="25"/>
    </row>
    <row r="1740" hidden="1" customHeight="1" spans="1:12">
      <c r="A1740" s="14" t="str">
        <f t="shared" si="34"/>
        <v>0x000000C0</v>
      </c>
      <c r="B1740" s="15">
        <f>SUM_HEX(C1739:F1739,B1739,3)</f>
        <v>192</v>
      </c>
      <c r="C1740" s="16" t="s">
        <v>316</v>
      </c>
      <c r="D1740" s="16"/>
      <c r="E1740" s="16"/>
      <c r="F1740" s="16"/>
      <c r="G1740" s="18" t="s">
        <v>212</v>
      </c>
      <c r="H1740" s="18"/>
      <c r="I1740" s="49" t="s">
        <v>319</v>
      </c>
      <c r="J1740" s="18"/>
      <c r="K1740" s="18" t="s">
        <v>318</v>
      </c>
      <c r="L1740" s="25"/>
    </row>
    <row r="1741" hidden="1" customHeight="1" spans="1:12">
      <c r="A1741" s="14" t="str">
        <f t="shared" si="34"/>
        <v>0x000000C4</v>
      </c>
      <c r="B1741" s="15">
        <f>SUM_HEX(C1740:F1740,B1740,3)</f>
        <v>196</v>
      </c>
      <c r="C1741" s="16" t="s">
        <v>316</v>
      </c>
      <c r="D1741" s="16"/>
      <c r="E1741" s="16"/>
      <c r="F1741" s="16"/>
      <c r="G1741" s="18" t="s">
        <v>212</v>
      </c>
      <c r="H1741" s="18"/>
      <c r="I1741" s="49" t="s">
        <v>320</v>
      </c>
      <c r="J1741" s="18"/>
      <c r="K1741" s="18" t="s">
        <v>318</v>
      </c>
      <c r="L1741" s="25"/>
    </row>
    <row r="1742" hidden="1" customHeight="1" spans="1:12">
      <c r="A1742" s="14" t="str">
        <f t="shared" si="34"/>
        <v>0x000000C8</v>
      </c>
      <c r="B1742" s="15">
        <f>SUM_HEX(C1741:F1741,B1741,3)</f>
        <v>200</v>
      </c>
      <c r="C1742" s="16" t="s">
        <v>316</v>
      </c>
      <c r="D1742" s="16"/>
      <c r="E1742" s="16"/>
      <c r="F1742" s="16"/>
      <c r="G1742" s="18" t="s">
        <v>212</v>
      </c>
      <c r="H1742" s="18"/>
      <c r="I1742" s="49" t="s">
        <v>321</v>
      </c>
      <c r="J1742" s="18"/>
      <c r="K1742" s="18" t="s">
        <v>318</v>
      </c>
      <c r="L1742" s="25"/>
    </row>
    <row r="1743" hidden="1" customHeight="1" spans="1:12">
      <c r="A1743" s="14" t="str">
        <f t="shared" si="34"/>
        <v>0x000000CC</v>
      </c>
      <c r="B1743" s="15">
        <f>SUM_HEX(C1742:F1742,B1742,3)</f>
        <v>204</v>
      </c>
      <c r="C1743" s="16" t="s">
        <v>23</v>
      </c>
      <c r="D1743" s="16"/>
      <c r="E1743" s="16"/>
      <c r="F1743" s="16"/>
      <c r="G1743" s="18" t="s">
        <v>212</v>
      </c>
      <c r="H1743" s="18"/>
      <c r="I1743" s="49" t="s">
        <v>322</v>
      </c>
      <c r="J1743" s="18"/>
      <c r="K1743" s="18" t="s">
        <v>318</v>
      </c>
      <c r="L1743" s="25"/>
    </row>
    <row r="1744" hidden="1" customHeight="1" spans="1:12">
      <c r="A1744" s="14" t="str">
        <f t="shared" si="34"/>
        <v>0x000000D0</v>
      </c>
      <c r="B1744" s="15">
        <f>SUM_HEX(C1743:F1743,B1743,3)</f>
        <v>208</v>
      </c>
      <c r="C1744" s="16" t="s">
        <v>23</v>
      </c>
      <c r="D1744" s="16"/>
      <c r="E1744" s="16"/>
      <c r="F1744" s="16"/>
      <c r="G1744" s="18" t="s">
        <v>212</v>
      </c>
      <c r="H1744" s="18"/>
      <c r="I1744" s="49" t="s">
        <v>323</v>
      </c>
      <c r="J1744" s="18"/>
      <c r="K1744" s="18" t="s">
        <v>318</v>
      </c>
      <c r="L1744" s="25"/>
    </row>
    <row r="1745" hidden="1" customHeight="1" spans="1:12">
      <c r="A1745" s="14" t="str">
        <f t="shared" si="34"/>
        <v>0x000000D4</v>
      </c>
      <c r="B1745" s="15">
        <f>SUM_HEX(C1744:F1744,B1744,3)</f>
        <v>212</v>
      </c>
      <c r="C1745" s="16" t="s">
        <v>23</v>
      </c>
      <c r="D1745" s="16"/>
      <c r="E1745" s="16"/>
      <c r="F1745" s="16"/>
      <c r="G1745" s="18" t="s">
        <v>212</v>
      </c>
      <c r="H1745" s="18"/>
      <c r="I1745" s="49" t="s">
        <v>324</v>
      </c>
      <c r="J1745" s="18"/>
      <c r="K1745" s="18" t="s">
        <v>318</v>
      </c>
      <c r="L1745" s="25"/>
    </row>
    <row r="1746" hidden="1" customHeight="1" spans="1:12">
      <c r="A1746" s="14" t="str">
        <f t="shared" si="34"/>
        <v>0x000000D8</v>
      </c>
      <c r="B1746" s="15">
        <f>SUM_HEX(C1745:F1745,B1745,3)</f>
        <v>216</v>
      </c>
      <c r="C1746" s="16" t="s">
        <v>23</v>
      </c>
      <c r="D1746" s="16"/>
      <c r="E1746" s="16"/>
      <c r="F1746" s="16"/>
      <c r="G1746" s="18" t="s">
        <v>212</v>
      </c>
      <c r="H1746" s="18"/>
      <c r="I1746" s="49" t="s">
        <v>325</v>
      </c>
      <c r="J1746" s="18"/>
      <c r="K1746" s="18" t="s">
        <v>318</v>
      </c>
      <c r="L1746" s="25"/>
    </row>
    <row r="1747" hidden="1" customHeight="1" spans="1:12">
      <c r="A1747" s="14" t="str">
        <f t="shared" si="34"/>
        <v>0x000000DC</v>
      </c>
      <c r="B1747" s="15">
        <f>SUM_HEX(C1746:F1746,B1746,3)</f>
        <v>220</v>
      </c>
      <c r="C1747" s="16" t="s">
        <v>23</v>
      </c>
      <c r="D1747" s="16"/>
      <c r="E1747" s="16"/>
      <c r="F1747" s="16"/>
      <c r="G1747" s="46" t="s">
        <v>157</v>
      </c>
      <c r="H1747" s="46" t="s">
        <v>326</v>
      </c>
      <c r="I1747" s="24" t="s">
        <v>327</v>
      </c>
      <c r="J1747" s="18"/>
      <c r="K1747" s="18" t="s">
        <v>328</v>
      </c>
      <c r="L1747" s="25" t="s">
        <v>272</v>
      </c>
    </row>
    <row r="1748" hidden="1" customHeight="1" spans="1:12">
      <c r="A1748" s="14" t="str">
        <f t="shared" si="34"/>
        <v>0x000000E0</v>
      </c>
      <c r="B1748" s="15">
        <f>SUM_HEX(C1747:F1747,B1747,3)</f>
        <v>224</v>
      </c>
      <c r="C1748" s="16" t="s">
        <v>329</v>
      </c>
      <c r="D1748" s="16"/>
      <c r="E1748" s="16"/>
      <c r="F1748" s="16"/>
      <c r="G1748" s="47"/>
      <c r="H1748" s="47"/>
      <c r="I1748" s="24"/>
      <c r="J1748" s="18"/>
      <c r="K1748" s="18"/>
      <c r="L1748" s="25"/>
    </row>
    <row r="1749" hidden="1" customHeight="1" spans="1:12">
      <c r="A1749" s="14" t="str">
        <f t="shared" si="34"/>
        <v>0x000000E4</v>
      </c>
      <c r="B1749" s="15">
        <f>SUM_HEX(C1748:F1748,B1748,3)</f>
        <v>228</v>
      </c>
      <c r="C1749" s="16" t="s">
        <v>330</v>
      </c>
      <c r="D1749" s="16" t="s">
        <v>330</v>
      </c>
      <c r="E1749" s="16" t="s">
        <v>330</v>
      </c>
      <c r="F1749" s="16"/>
      <c r="G1749" s="47"/>
      <c r="H1749" s="47"/>
      <c r="I1749" s="24"/>
      <c r="J1749" s="18"/>
      <c r="K1749" s="18"/>
      <c r="L1749" s="25"/>
    </row>
    <row r="1750" hidden="1" customHeight="1" spans="1:12">
      <c r="A1750" s="14" t="str">
        <f t="shared" si="34"/>
        <v>0x000000F0</v>
      </c>
      <c r="B1750" s="15">
        <f>SUM_HEX(C1749:F1749,B1749,3)</f>
        <v>240</v>
      </c>
      <c r="C1750" s="16" t="s">
        <v>23</v>
      </c>
      <c r="D1750" s="16" t="s">
        <v>23</v>
      </c>
      <c r="E1750" s="16" t="s">
        <v>23</v>
      </c>
      <c r="F1750" s="16"/>
      <c r="G1750" s="47"/>
      <c r="H1750" s="47"/>
      <c r="I1750" s="24"/>
      <c r="J1750" s="18"/>
      <c r="K1750" s="18"/>
      <c r="L1750" s="25"/>
    </row>
    <row r="1751" hidden="1" customHeight="1" spans="1:12">
      <c r="A1751" s="14" t="str">
        <f t="shared" si="34"/>
        <v>0x000000FC</v>
      </c>
      <c r="B1751" s="15">
        <f>SUM_HEX(C1750:F1750,B1750,3)</f>
        <v>252</v>
      </c>
      <c r="C1751" s="16" t="s">
        <v>274</v>
      </c>
      <c r="D1751" s="16"/>
      <c r="E1751" s="16"/>
      <c r="F1751" s="16"/>
      <c r="G1751" s="48"/>
      <c r="H1751" s="48"/>
      <c r="I1751" s="24"/>
      <c r="J1751" s="18"/>
      <c r="K1751" s="18"/>
      <c r="L1751" s="25"/>
    </row>
    <row r="1752" hidden="1" customHeight="1" spans="1:12">
      <c r="A1752" s="14" t="str">
        <f t="shared" si="34"/>
        <v>0x00000100</v>
      </c>
      <c r="B1752" s="15">
        <f>SUM_HEX(C1751:F1751,B1751,3)</f>
        <v>256</v>
      </c>
      <c r="C1752" s="16" t="s">
        <v>23</v>
      </c>
      <c r="D1752" s="16"/>
      <c r="E1752" s="16"/>
      <c r="F1752" s="16"/>
      <c r="G1752" s="46" t="s">
        <v>157</v>
      </c>
      <c r="H1752" s="46" t="s">
        <v>326</v>
      </c>
      <c r="I1752" s="24" t="s">
        <v>331</v>
      </c>
      <c r="J1752" s="18"/>
      <c r="K1752" s="18" t="s">
        <v>332</v>
      </c>
      <c r="L1752" s="25" t="s">
        <v>333</v>
      </c>
    </row>
    <row r="1753" hidden="1" customHeight="1" spans="1:12">
      <c r="A1753" s="14" t="str">
        <f t="shared" si="34"/>
        <v>0x00000104</v>
      </c>
      <c r="B1753" s="15">
        <f>SUM_HEX(C1752:F1752,B1752,3)</f>
        <v>260</v>
      </c>
      <c r="C1753" s="16" t="s">
        <v>334</v>
      </c>
      <c r="D1753" s="16"/>
      <c r="E1753" s="16"/>
      <c r="F1753" s="16"/>
      <c r="G1753" s="47"/>
      <c r="H1753" s="47"/>
      <c r="I1753" s="24"/>
      <c r="J1753" s="18"/>
      <c r="K1753" s="18"/>
      <c r="L1753" s="25"/>
    </row>
    <row r="1754" hidden="1" customHeight="1" spans="1:12">
      <c r="A1754" s="14" t="str">
        <f t="shared" si="34"/>
        <v>0x00000108</v>
      </c>
      <c r="B1754" s="15">
        <f>SUM_HEX(C1753:F1753,B1753,3)</f>
        <v>264</v>
      </c>
      <c r="C1754" s="16" t="s">
        <v>23</v>
      </c>
      <c r="D1754" s="16" t="s">
        <v>23</v>
      </c>
      <c r="E1754" s="16" t="s">
        <v>23</v>
      </c>
      <c r="F1754" s="16"/>
      <c r="G1754" s="47"/>
      <c r="H1754" s="47"/>
      <c r="I1754" s="24"/>
      <c r="J1754" s="18"/>
      <c r="K1754" s="18"/>
      <c r="L1754" s="25"/>
    </row>
    <row r="1755" hidden="1" customHeight="1" spans="1:12">
      <c r="A1755" s="14" t="str">
        <f t="shared" si="34"/>
        <v>0x00000114</v>
      </c>
      <c r="B1755" s="15">
        <f>SUM_HEX(C1754:F1754,B1754,3)</f>
        <v>276</v>
      </c>
      <c r="C1755" s="16" t="s">
        <v>23</v>
      </c>
      <c r="D1755" s="16" t="s">
        <v>23</v>
      </c>
      <c r="E1755" s="16" t="s">
        <v>23</v>
      </c>
      <c r="F1755" s="16"/>
      <c r="G1755" s="47"/>
      <c r="H1755" s="47"/>
      <c r="I1755" s="24"/>
      <c r="J1755" s="18"/>
      <c r="K1755" s="18"/>
      <c r="L1755" s="25"/>
    </row>
    <row r="1756" hidden="1" customHeight="1" spans="1:12">
      <c r="A1756" s="14" t="str">
        <f t="shared" si="34"/>
        <v>0x00000120</v>
      </c>
      <c r="B1756" s="15">
        <f>SUM_HEX(C1755:F1755,B1755,3)</f>
        <v>288</v>
      </c>
      <c r="C1756" s="16" t="s">
        <v>274</v>
      </c>
      <c r="D1756" s="16"/>
      <c r="E1756" s="16"/>
      <c r="F1756" s="16"/>
      <c r="G1756" s="48"/>
      <c r="H1756" s="48"/>
      <c r="I1756" s="24"/>
      <c r="J1756" s="18"/>
      <c r="K1756" s="18"/>
      <c r="L1756" s="25"/>
    </row>
    <row r="1757" hidden="1" customHeight="1" spans="1:12">
      <c r="A1757" s="14" t="str">
        <f t="shared" si="34"/>
        <v>0x00000124</v>
      </c>
      <c r="B1757" s="15">
        <f>SUM_HEX(C1756:F1756,B1756,3)</f>
        <v>292</v>
      </c>
      <c r="C1757" s="16" t="s">
        <v>23</v>
      </c>
      <c r="D1757" s="16"/>
      <c r="E1757" s="16"/>
      <c r="F1757" s="16"/>
      <c r="G1757" s="46" t="s">
        <v>157</v>
      </c>
      <c r="H1757" s="46" t="s">
        <v>335</v>
      </c>
      <c r="I1757" s="24" t="s">
        <v>336</v>
      </c>
      <c r="J1757" s="18"/>
      <c r="K1757" s="18" t="s">
        <v>337</v>
      </c>
      <c r="L1757" s="25"/>
    </row>
    <row r="1758" hidden="1" customHeight="1" spans="1:12">
      <c r="A1758" s="14" t="str">
        <f t="shared" si="34"/>
        <v>0x00000128</v>
      </c>
      <c r="B1758" s="15">
        <f>SUM_HEX(C1757:F1757,B1757,3)</f>
        <v>296</v>
      </c>
      <c r="C1758" s="16" t="s">
        <v>338</v>
      </c>
      <c r="D1758" s="16"/>
      <c r="E1758" s="16"/>
      <c r="F1758" s="16"/>
      <c r="G1758" s="47"/>
      <c r="H1758" s="47"/>
      <c r="I1758" s="24"/>
      <c r="J1758" s="18"/>
      <c r="K1758" s="18"/>
      <c r="L1758" s="25"/>
    </row>
    <row r="1759" hidden="1" customHeight="1" spans="1:12">
      <c r="A1759" s="14" t="str">
        <f t="shared" si="34"/>
        <v>0x0000012C</v>
      </c>
      <c r="B1759" s="15">
        <f>SUM_HEX(C1758:F1758,B1758,3)</f>
        <v>300</v>
      </c>
      <c r="C1759" s="16" t="s">
        <v>274</v>
      </c>
      <c r="D1759" s="16" t="s">
        <v>23</v>
      </c>
      <c r="E1759" s="16"/>
      <c r="F1759" s="16"/>
      <c r="G1759" s="47"/>
      <c r="H1759" s="47"/>
      <c r="I1759" s="24"/>
      <c r="J1759" s="18"/>
      <c r="K1759" s="18"/>
      <c r="L1759" s="25"/>
    </row>
    <row r="1760" hidden="1" customHeight="1" spans="1:12">
      <c r="A1760" s="14" t="str">
        <f t="shared" si="34"/>
        <v>0x00000134</v>
      </c>
      <c r="B1760" s="15">
        <f>SUM_HEX(C1759:F1759,B1759,3)</f>
        <v>308</v>
      </c>
      <c r="C1760" s="16" t="s">
        <v>274</v>
      </c>
      <c r="D1760" s="16"/>
      <c r="E1760" s="16"/>
      <c r="F1760" s="16"/>
      <c r="G1760" s="48"/>
      <c r="H1760" s="48"/>
      <c r="I1760" s="24"/>
      <c r="J1760" s="18"/>
      <c r="K1760" s="18"/>
      <c r="L1760" s="25"/>
    </row>
    <row r="1761" hidden="1" customHeight="1" spans="1:12">
      <c r="A1761" s="14" t="str">
        <f t="shared" si="34"/>
        <v>0x00000138</v>
      </c>
      <c r="B1761" s="15">
        <f>SUM_HEX(C1760:F1760,B1760,3)</f>
        <v>312</v>
      </c>
      <c r="C1761" s="16" t="s">
        <v>23</v>
      </c>
      <c r="D1761" s="16"/>
      <c r="E1761" s="16"/>
      <c r="F1761" s="16"/>
      <c r="G1761" s="46" t="s">
        <v>157</v>
      </c>
      <c r="H1761" s="46" t="s">
        <v>335</v>
      </c>
      <c r="I1761" s="24" t="s">
        <v>339</v>
      </c>
      <c r="J1761" s="18"/>
      <c r="K1761" s="18" t="s">
        <v>337</v>
      </c>
      <c r="L1761" s="25"/>
    </row>
    <row r="1762" hidden="1" customHeight="1" spans="1:12">
      <c r="A1762" s="14" t="str">
        <f t="shared" si="34"/>
        <v>0x0000013C</v>
      </c>
      <c r="B1762" s="15">
        <f>SUM_HEX(C1761:F1761,B1761,3)</f>
        <v>316</v>
      </c>
      <c r="C1762" s="16" t="s">
        <v>340</v>
      </c>
      <c r="D1762" s="16"/>
      <c r="E1762" s="16"/>
      <c r="F1762" s="16"/>
      <c r="G1762" s="47"/>
      <c r="H1762" s="47"/>
      <c r="I1762" s="24"/>
      <c r="J1762" s="18"/>
      <c r="K1762" s="18"/>
      <c r="L1762" s="25"/>
    </row>
    <row r="1763" hidden="1" customHeight="1" spans="1:12">
      <c r="A1763" s="14" t="str">
        <f t="shared" si="34"/>
        <v>0x00000140</v>
      </c>
      <c r="B1763" s="15">
        <f>SUM_HEX(C1762:F1762,B1762,3)</f>
        <v>320</v>
      </c>
      <c r="C1763" s="16" t="s">
        <v>274</v>
      </c>
      <c r="D1763" s="16" t="s">
        <v>23</v>
      </c>
      <c r="E1763" s="16"/>
      <c r="F1763" s="16"/>
      <c r="G1763" s="47"/>
      <c r="H1763" s="47"/>
      <c r="I1763" s="24"/>
      <c r="J1763" s="18"/>
      <c r="K1763" s="18"/>
      <c r="L1763" s="25"/>
    </row>
    <row r="1764" hidden="1" customHeight="1" spans="1:12">
      <c r="A1764" s="14" t="str">
        <f t="shared" si="34"/>
        <v>0x00000148</v>
      </c>
      <c r="B1764" s="15">
        <f>SUM_HEX(C1763:F1763,B1763,3)</f>
        <v>328</v>
      </c>
      <c r="C1764" s="16" t="s">
        <v>274</v>
      </c>
      <c r="D1764" s="16"/>
      <c r="E1764" s="16"/>
      <c r="F1764" s="16"/>
      <c r="G1764" s="48"/>
      <c r="H1764" s="48"/>
      <c r="I1764" s="24"/>
      <c r="J1764" s="18"/>
      <c r="K1764" s="18"/>
      <c r="L1764" s="25"/>
    </row>
    <row r="1765" hidden="1" customHeight="1" spans="1:12">
      <c r="A1765" s="14" t="str">
        <f t="shared" si="34"/>
        <v>0x0000014C</v>
      </c>
      <c r="B1765" s="15">
        <f>SUM_HEX(C1764:F1764,B1764,3)</f>
        <v>332</v>
      </c>
      <c r="C1765" s="16" t="s">
        <v>23</v>
      </c>
      <c r="D1765" s="16"/>
      <c r="E1765" s="16"/>
      <c r="F1765" s="16"/>
      <c r="G1765" s="46" t="s">
        <v>157</v>
      </c>
      <c r="H1765" s="46" t="s">
        <v>335</v>
      </c>
      <c r="I1765" s="24" t="s">
        <v>341</v>
      </c>
      <c r="J1765" s="18"/>
      <c r="K1765" s="18" t="s">
        <v>337</v>
      </c>
      <c r="L1765" s="25"/>
    </row>
    <row r="1766" hidden="1" customHeight="1" spans="1:12">
      <c r="A1766" s="14" t="str">
        <f t="shared" si="34"/>
        <v>0x00000150</v>
      </c>
      <c r="B1766" s="15">
        <f>SUM_HEX(C1765:F1765,B1765,3)</f>
        <v>336</v>
      </c>
      <c r="C1766" s="16" t="s">
        <v>342</v>
      </c>
      <c r="D1766" s="16"/>
      <c r="E1766" s="16"/>
      <c r="F1766" s="16"/>
      <c r="G1766" s="47"/>
      <c r="H1766" s="47"/>
      <c r="I1766" s="24"/>
      <c r="J1766" s="18"/>
      <c r="K1766" s="18"/>
      <c r="L1766" s="25"/>
    </row>
    <row r="1767" hidden="1" customHeight="1" spans="1:12">
      <c r="A1767" s="14" t="str">
        <f t="shared" si="34"/>
        <v>0x00000154</v>
      </c>
      <c r="B1767" s="15">
        <f>SUM_HEX(C1766:F1766,B1766,3)</f>
        <v>340</v>
      </c>
      <c r="C1767" s="16" t="s">
        <v>274</v>
      </c>
      <c r="D1767" s="16" t="s">
        <v>23</v>
      </c>
      <c r="E1767" s="16"/>
      <c r="F1767" s="16"/>
      <c r="G1767" s="47"/>
      <c r="H1767" s="47"/>
      <c r="I1767" s="24"/>
      <c r="J1767" s="18"/>
      <c r="K1767" s="18"/>
      <c r="L1767" s="25"/>
    </row>
    <row r="1768" hidden="1" customHeight="1" spans="1:12">
      <c r="A1768" s="14" t="str">
        <f t="shared" ref="A1768:A1831" si="35">"0x"&amp;DEC2HEX(B1768,8)</f>
        <v>0x0000015C</v>
      </c>
      <c r="B1768" s="15">
        <f>SUM_HEX(C1767:F1767,B1767,3)</f>
        <v>348</v>
      </c>
      <c r="C1768" s="16" t="s">
        <v>274</v>
      </c>
      <c r="D1768" s="16"/>
      <c r="E1768" s="16"/>
      <c r="F1768" s="16"/>
      <c r="G1768" s="48"/>
      <c r="H1768" s="48"/>
      <c r="I1768" s="24"/>
      <c r="J1768" s="18"/>
      <c r="K1768" s="18"/>
      <c r="L1768" s="25"/>
    </row>
    <row r="1769" hidden="1" customHeight="1" spans="1:12">
      <c r="A1769" s="14" t="str">
        <f t="shared" si="35"/>
        <v>0x00000160</v>
      </c>
      <c r="B1769" s="15">
        <f>SUM_HEX(C1768:F1768,B1768,3)</f>
        <v>352</v>
      </c>
      <c r="C1769" s="16" t="s">
        <v>23</v>
      </c>
      <c r="D1769" s="16"/>
      <c r="E1769" s="16"/>
      <c r="F1769" s="16"/>
      <c r="G1769" s="18" t="s">
        <v>212</v>
      </c>
      <c r="H1769" s="18"/>
      <c r="I1769" s="24" t="s">
        <v>343</v>
      </c>
      <c r="J1769" s="50"/>
      <c r="K1769" s="18" t="s">
        <v>344</v>
      </c>
      <c r="L1769" s="25"/>
    </row>
    <row r="1770" hidden="1" customHeight="1" spans="1:12">
      <c r="A1770" s="14" t="str">
        <f t="shared" si="35"/>
        <v>0x00000164</v>
      </c>
      <c r="B1770" s="15">
        <f>SUM_HEX(C1769:F1769,B1769,3)</f>
        <v>356</v>
      </c>
      <c r="C1770" s="16" t="s">
        <v>148</v>
      </c>
      <c r="D1770" s="16"/>
      <c r="E1770" s="16"/>
      <c r="F1770" s="16"/>
      <c r="G1770" s="18" t="s">
        <v>212</v>
      </c>
      <c r="H1770" s="18"/>
      <c r="I1770" s="24" t="s">
        <v>345</v>
      </c>
      <c r="J1770" s="50"/>
      <c r="K1770" s="18" t="s">
        <v>346</v>
      </c>
      <c r="L1770" s="25"/>
    </row>
    <row r="1771" hidden="1" customHeight="1" spans="1:12">
      <c r="A1771" s="14" t="str">
        <f t="shared" si="35"/>
        <v>0x00000168</v>
      </c>
      <c r="B1771" s="15">
        <f>SUM_HEX(C1770:F1770,B1770,3)</f>
        <v>360</v>
      </c>
      <c r="C1771" s="16" t="s">
        <v>148</v>
      </c>
      <c r="D1771" s="16"/>
      <c r="E1771" s="16"/>
      <c r="F1771" s="16"/>
      <c r="G1771" s="18" t="s">
        <v>212</v>
      </c>
      <c r="H1771" s="18"/>
      <c r="I1771" s="24" t="s">
        <v>347</v>
      </c>
      <c r="J1771" s="50"/>
      <c r="K1771" s="18" t="s">
        <v>346</v>
      </c>
      <c r="L1771" s="25"/>
    </row>
    <row r="1772" hidden="1" customHeight="1" spans="1:12">
      <c r="A1772" s="14" t="str">
        <f t="shared" si="35"/>
        <v>0x0000016C</v>
      </c>
      <c r="B1772" s="15">
        <f>SUM_HEX(C1771:F1771,B1771,3)</f>
        <v>364</v>
      </c>
      <c r="C1772" s="16" t="s">
        <v>23</v>
      </c>
      <c r="D1772" s="16"/>
      <c r="E1772" s="16"/>
      <c r="F1772" s="16"/>
      <c r="G1772" s="18" t="s">
        <v>212</v>
      </c>
      <c r="H1772" s="18"/>
      <c r="I1772" s="24" t="s">
        <v>348</v>
      </c>
      <c r="J1772" s="50"/>
      <c r="K1772" s="18"/>
      <c r="L1772" s="25"/>
    </row>
    <row r="1773" hidden="1" customHeight="1" spans="1:12">
      <c r="A1773" s="14" t="str">
        <f t="shared" si="35"/>
        <v>0x00000170</v>
      </c>
      <c r="B1773" s="15">
        <f>SUM_HEX(C1772:F1772,B1772,3)</f>
        <v>368</v>
      </c>
      <c r="C1773" s="16" t="s">
        <v>23</v>
      </c>
      <c r="D1773" s="16"/>
      <c r="E1773" s="16"/>
      <c r="F1773" s="16"/>
      <c r="G1773" s="18" t="s">
        <v>33</v>
      </c>
      <c r="H1773" s="18"/>
      <c r="I1773" s="24" t="s">
        <v>349</v>
      </c>
      <c r="J1773" s="18"/>
      <c r="K1773" s="18"/>
      <c r="L1773" s="25"/>
    </row>
    <row r="1774" hidden="1" customHeight="1" spans="1:12">
      <c r="A1774" s="14" t="str">
        <f t="shared" si="35"/>
        <v>0x00000174</v>
      </c>
      <c r="B1774" s="15">
        <f>SUM_HEX(C1773:F1773,B1773,3)</f>
        <v>372</v>
      </c>
      <c r="C1774" s="16" t="s">
        <v>23</v>
      </c>
      <c r="D1774" s="16"/>
      <c r="E1774" s="16"/>
      <c r="F1774" s="16"/>
      <c r="G1774" s="17"/>
      <c r="H1774" s="17"/>
      <c r="I1774" s="22"/>
      <c r="J1774" s="17"/>
      <c r="K1774" s="17"/>
      <c r="L1774" s="23"/>
    </row>
    <row r="1775" hidden="1" customHeight="1" spans="1:12">
      <c r="A1775" s="14" t="str">
        <f t="shared" si="35"/>
        <v>0x00000178</v>
      </c>
      <c r="B1775" s="15">
        <f>SUM_HEX(C1774:F1774,B1774,3)</f>
        <v>376</v>
      </c>
      <c r="C1775" s="16" t="s">
        <v>23</v>
      </c>
      <c r="D1775" s="16"/>
      <c r="E1775" s="16"/>
      <c r="F1775" s="16"/>
      <c r="G1775" s="18" t="s">
        <v>212</v>
      </c>
      <c r="H1775" s="18"/>
      <c r="I1775" s="24" t="s">
        <v>350</v>
      </c>
      <c r="J1775" s="18"/>
      <c r="K1775" s="18"/>
      <c r="L1775" s="25" t="s">
        <v>272</v>
      </c>
    </row>
    <row r="1776" hidden="1" customHeight="1" spans="1:12">
      <c r="A1776" s="14" t="str">
        <f t="shared" si="35"/>
        <v>0x0000017C</v>
      </c>
      <c r="B1776" s="15">
        <f>SUM_HEX(C1775:F1775,B1775,3)</f>
        <v>380</v>
      </c>
      <c r="C1776" s="16" t="s">
        <v>23</v>
      </c>
      <c r="D1776" s="16"/>
      <c r="E1776" s="16"/>
      <c r="F1776" s="16"/>
      <c r="G1776" s="18" t="s">
        <v>212</v>
      </c>
      <c r="H1776" s="18"/>
      <c r="I1776" s="24" t="s">
        <v>351</v>
      </c>
      <c r="J1776" s="18"/>
      <c r="K1776" s="18"/>
      <c r="L1776" s="25"/>
    </row>
    <row r="1777" hidden="1" customHeight="1" spans="1:12">
      <c r="A1777" s="14" t="str">
        <f t="shared" si="35"/>
        <v>0x00000180</v>
      </c>
      <c r="B1777" s="15">
        <f>SUM_HEX(C1776:F1776,B1776,3)</f>
        <v>384</v>
      </c>
      <c r="C1777" s="16" t="s">
        <v>23</v>
      </c>
      <c r="D1777" s="16"/>
      <c r="E1777" s="16"/>
      <c r="F1777" s="16"/>
      <c r="G1777" s="18" t="s">
        <v>212</v>
      </c>
      <c r="H1777" s="18"/>
      <c r="I1777" s="24" t="s">
        <v>352</v>
      </c>
      <c r="J1777" s="18"/>
      <c r="K1777" s="18"/>
      <c r="L1777" s="25"/>
    </row>
    <row r="1778" hidden="1" customHeight="1" spans="1:12">
      <c r="A1778" s="14" t="str">
        <f t="shared" si="35"/>
        <v>0x00000184</v>
      </c>
      <c r="B1778" s="15">
        <f>SUM_HEX(C1777:F1777,B1777,3)</f>
        <v>388</v>
      </c>
      <c r="C1778" s="16" t="s">
        <v>353</v>
      </c>
      <c r="D1778" s="16"/>
      <c r="E1778" s="16"/>
      <c r="F1778" s="16"/>
      <c r="G1778" s="18" t="s">
        <v>212</v>
      </c>
      <c r="H1778" s="18"/>
      <c r="I1778" s="24" t="s">
        <v>354</v>
      </c>
      <c r="J1778" s="18"/>
      <c r="K1778" s="18"/>
      <c r="L1778" s="25"/>
    </row>
    <row r="1779" hidden="1" customHeight="1" spans="1:12">
      <c r="A1779" s="14" t="str">
        <f t="shared" si="35"/>
        <v>0x00000188</v>
      </c>
      <c r="B1779" s="15">
        <f>SUM_HEX(C1778:F1778,B1778,3)</f>
        <v>392</v>
      </c>
      <c r="C1779" s="16" t="s">
        <v>29</v>
      </c>
      <c r="D1779" s="16"/>
      <c r="E1779" s="16"/>
      <c r="F1779" s="16"/>
      <c r="G1779" s="18" t="s">
        <v>15</v>
      </c>
      <c r="H1779" s="18"/>
      <c r="I1779" s="24"/>
      <c r="J1779" s="18"/>
      <c r="K1779" s="18"/>
      <c r="L1779" s="25"/>
    </row>
    <row r="1780" hidden="1" customHeight="1" spans="1:12">
      <c r="A1780" s="14" t="str">
        <f t="shared" si="35"/>
        <v>0x0000018C</v>
      </c>
      <c r="B1780" s="15">
        <f>SUM_HEX(C1779:F1779,B1779,3)</f>
        <v>396</v>
      </c>
      <c r="C1780" s="16" t="s">
        <v>355</v>
      </c>
      <c r="D1780" s="16"/>
      <c r="E1780" s="16"/>
      <c r="F1780" s="16"/>
      <c r="G1780" s="18" t="s">
        <v>15</v>
      </c>
      <c r="H1780" s="18"/>
      <c r="I1780" s="24" t="s">
        <v>356</v>
      </c>
      <c r="J1780" s="18"/>
      <c r="K1780" s="18"/>
      <c r="L1780" s="25"/>
    </row>
    <row r="1781" hidden="1" customHeight="1" spans="1:12">
      <c r="A1781" s="14" t="str">
        <f t="shared" si="35"/>
        <v>0x00000190</v>
      </c>
      <c r="B1781" s="15">
        <f>SUM_HEX(C1780:F1780,B1780,3)</f>
        <v>400</v>
      </c>
      <c r="C1781" s="16" t="s">
        <v>23</v>
      </c>
      <c r="D1781" s="16"/>
      <c r="E1781" s="16"/>
      <c r="F1781" s="16"/>
      <c r="G1781" s="46" t="s">
        <v>157</v>
      </c>
      <c r="H1781" s="46" t="s">
        <v>212</v>
      </c>
      <c r="I1781" s="18" t="s">
        <v>357</v>
      </c>
      <c r="J1781" s="18"/>
      <c r="K1781" s="18"/>
      <c r="L1781" s="25"/>
    </row>
    <row r="1782" hidden="1" customHeight="1" spans="1:12">
      <c r="A1782" s="14" t="str">
        <f t="shared" si="35"/>
        <v>0x00000194</v>
      </c>
      <c r="B1782" s="15">
        <f>SUM_HEX(C1781:F1781,B1781,3)</f>
        <v>404</v>
      </c>
      <c r="C1782" s="16" t="s">
        <v>358</v>
      </c>
      <c r="D1782" s="16"/>
      <c r="E1782" s="16"/>
      <c r="F1782" s="16"/>
      <c r="G1782" s="47"/>
      <c r="H1782" s="47"/>
      <c r="I1782" s="18"/>
      <c r="J1782" s="18"/>
      <c r="K1782" s="18"/>
      <c r="L1782" s="25"/>
    </row>
    <row r="1783" hidden="1" customHeight="1" spans="1:12">
      <c r="A1783" s="14" t="str">
        <f t="shared" si="35"/>
        <v>0x00000198</v>
      </c>
      <c r="B1783" s="15">
        <f>SUM_HEX(C1782:F1782,B1782,3)</f>
        <v>408</v>
      </c>
      <c r="C1783" s="16" t="s">
        <v>359</v>
      </c>
      <c r="D1783" s="16" t="s">
        <v>23</v>
      </c>
      <c r="E1783" s="16"/>
      <c r="F1783" s="16"/>
      <c r="G1783" s="47"/>
      <c r="H1783" s="47"/>
      <c r="I1783" s="18"/>
      <c r="J1783" s="18"/>
      <c r="K1783" s="18"/>
      <c r="L1783" s="25"/>
    </row>
    <row r="1784" hidden="1" customHeight="1" spans="1:12">
      <c r="A1784" s="14" t="str">
        <f t="shared" si="35"/>
        <v>0x000001A0</v>
      </c>
      <c r="B1784" s="15">
        <f>SUM_HEX(C1783:F1783,B1783,3)</f>
        <v>416</v>
      </c>
      <c r="C1784" s="16" t="s">
        <v>274</v>
      </c>
      <c r="D1784" s="16"/>
      <c r="E1784" s="16"/>
      <c r="F1784" s="16"/>
      <c r="G1784" s="48"/>
      <c r="H1784" s="48"/>
      <c r="I1784" s="18"/>
      <c r="J1784" s="18"/>
      <c r="K1784" s="18"/>
      <c r="L1784" s="25"/>
    </row>
    <row r="1785" hidden="1" customHeight="1" spans="1:12">
      <c r="A1785" s="14" t="str">
        <f t="shared" si="35"/>
        <v>0x000001A4</v>
      </c>
      <c r="B1785" s="15">
        <f>SUM_HEX(C1784:F1784,B1784,3)</f>
        <v>420</v>
      </c>
      <c r="C1785" s="16" t="s">
        <v>23</v>
      </c>
      <c r="D1785" s="16"/>
      <c r="E1785" s="16"/>
      <c r="F1785" s="16"/>
      <c r="G1785" s="18" t="s">
        <v>15</v>
      </c>
      <c r="H1785" s="18"/>
      <c r="I1785" s="24" t="s">
        <v>360</v>
      </c>
      <c r="J1785" s="18"/>
      <c r="K1785" s="18"/>
      <c r="L1785" s="25"/>
    </row>
    <row r="1786" hidden="1" customHeight="1" spans="1:12">
      <c r="A1786" s="14" t="str">
        <f t="shared" si="35"/>
        <v>0x000001A8</v>
      </c>
      <c r="B1786" s="15">
        <f>SUM_HEX(C1785:F1785,B1785,3)</f>
        <v>424</v>
      </c>
      <c r="C1786" s="16" t="s">
        <v>23</v>
      </c>
      <c r="D1786" s="16"/>
      <c r="E1786" s="16"/>
      <c r="F1786" s="16"/>
      <c r="G1786" s="46" t="s">
        <v>157</v>
      </c>
      <c r="H1786" s="46" t="s">
        <v>326</v>
      </c>
      <c r="I1786" s="24" t="s">
        <v>361</v>
      </c>
      <c r="J1786" s="18"/>
      <c r="K1786" s="18"/>
      <c r="L1786" s="25" t="s">
        <v>272</v>
      </c>
    </row>
    <row r="1787" hidden="1" customHeight="1" spans="1:12">
      <c r="A1787" s="14" t="str">
        <f t="shared" si="35"/>
        <v>0x000001AC</v>
      </c>
      <c r="B1787" s="15">
        <f>SUM_HEX(C1786:F1786,B1786,3)</f>
        <v>428</v>
      </c>
      <c r="C1787" s="16" t="s">
        <v>362</v>
      </c>
      <c r="D1787" s="16"/>
      <c r="E1787" s="16"/>
      <c r="F1787" s="16"/>
      <c r="G1787" s="47"/>
      <c r="H1787" s="47"/>
      <c r="I1787" s="18"/>
      <c r="J1787" s="18"/>
      <c r="K1787" s="18"/>
      <c r="L1787" s="25"/>
    </row>
    <row r="1788" hidden="1" customHeight="1" spans="1:12">
      <c r="A1788" s="14" t="str">
        <f t="shared" si="35"/>
        <v>0x000001B0</v>
      </c>
      <c r="B1788" s="15">
        <f>SUM_HEX(C1787:F1787,B1787,3)</f>
        <v>432</v>
      </c>
      <c r="C1788" s="16" t="s">
        <v>330</v>
      </c>
      <c r="D1788" s="16" t="s">
        <v>330</v>
      </c>
      <c r="E1788" s="16" t="s">
        <v>330</v>
      </c>
      <c r="F1788" s="16"/>
      <c r="G1788" s="47"/>
      <c r="H1788" s="47"/>
      <c r="I1788" s="18"/>
      <c r="J1788" s="18"/>
      <c r="K1788" s="18"/>
      <c r="L1788" s="25"/>
    </row>
    <row r="1789" hidden="1" customHeight="1" spans="1:12">
      <c r="A1789" s="14" t="str">
        <f t="shared" si="35"/>
        <v>0x000001BC</v>
      </c>
      <c r="B1789" s="15">
        <f>SUM_HEX(C1788:F1788,B1788,3)</f>
        <v>444</v>
      </c>
      <c r="C1789" s="16" t="s">
        <v>23</v>
      </c>
      <c r="D1789" s="16" t="s">
        <v>23</v>
      </c>
      <c r="E1789" s="16" t="s">
        <v>23</v>
      </c>
      <c r="F1789" s="16"/>
      <c r="G1789" s="47"/>
      <c r="H1789" s="47"/>
      <c r="I1789" s="18"/>
      <c r="J1789" s="18"/>
      <c r="K1789" s="18"/>
      <c r="L1789" s="25"/>
    </row>
    <row r="1790" hidden="1" customHeight="1" spans="1:12">
      <c r="A1790" s="14" t="str">
        <f t="shared" si="35"/>
        <v>0x000001C8</v>
      </c>
      <c r="B1790" s="15">
        <f>SUM_HEX(C1789:F1789,B1789,3)</f>
        <v>456</v>
      </c>
      <c r="C1790" s="16" t="s">
        <v>274</v>
      </c>
      <c r="D1790" s="16"/>
      <c r="E1790" s="16"/>
      <c r="F1790" s="16"/>
      <c r="G1790" s="48"/>
      <c r="H1790" s="48"/>
      <c r="I1790" s="18"/>
      <c r="J1790" s="18"/>
      <c r="K1790" s="18"/>
      <c r="L1790" s="25"/>
    </row>
    <row r="1791" hidden="1" customHeight="1" spans="1:12">
      <c r="A1791" s="14" t="str">
        <f t="shared" si="35"/>
        <v>0x000001CC</v>
      </c>
      <c r="B1791" s="15">
        <f>SUM_HEX(C1790:F1790,B1790,3)</f>
        <v>460</v>
      </c>
      <c r="C1791" s="16" t="s">
        <v>23</v>
      </c>
      <c r="D1791" s="16"/>
      <c r="E1791" s="16"/>
      <c r="F1791" s="16"/>
      <c r="G1791" s="46" t="s">
        <v>157</v>
      </c>
      <c r="H1791" s="46" t="s">
        <v>326</v>
      </c>
      <c r="I1791" s="24" t="s">
        <v>363</v>
      </c>
      <c r="J1791" s="18"/>
      <c r="K1791" s="18"/>
      <c r="L1791" s="25" t="s">
        <v>272</v>
      </c>
    </row>
    <row r="1792" hidden="1" customHeight="1" spans="1:12">
      <c r="A1792" s="14" t="str">
        <f t="shared" si="35"/>
        <v>0x000001D0</v>
      </c>
      <c r="B1792" s="15">
        <f>SUM_HEX(C1791:F1791,B1791,3)</f>
        <v>464</v>
      </c>
      <c r="C1792" s="16" t="s">
        <v>364</v>
      </c>
      <c r="D1792" s="16"/>
      <c r="E1792" s="16"/>
      <c r="F1792" s="16"/>
      <c r="G1792" s="47"/>
      <c r="H1792" s="47"/>
      <c r="I1792" s="18"/>
      <c r="J1792" s="18"/>
      <c r="K1792" s="18"/>
      <c r="L1792" s="25"/>
    </row>
    <row r="1793" hidden="1" customHeight="1" spans="1:12">
      <c r="A1793" s="14" t="str">
        <f t="shared" si="35"/>
        <v>0x000001D4</v>
      </c>
      <c r="B1793" s="15">
        <f>SUM_HEX(C1792:F1792,B1792,3)</f>
        <v>468</v>
      </c>
      <c r="C1793" s="16" t="s">
        <v>330</v>
      </c>
      <c r="D1793" s="16" t="s">
        <v>330</v>
      </c>
      <c r="E1793" s="16" t="s">
        <v>330</v>
      </c>
      <c r="F1793" s="16"/>
      <c r="G1793" s="47"/>
      <c r="H1793" s="47"/>
      <c r="I1793" s="18"/>
      <c r="J1793" s="18"/>
      <c r="K1793" s="18"/>
      <c r="L1793" s="25"/>
    </row>
    <row r="1794" hidden="1" customHeight="1" spans="1:12">
      <c r="A1794" s="14" t="str">
        <f t="shared" si="35"/>
        <v>0x000001E0</v>
      </c>
      <c r="B1794" s="15">
        <f>SUM_HEX(C1793:F1793,B1793,3)</f>
        <v>480</v>
      </c>
      <c r="C1794" s="16" t="s">
        <v>23</v>
      </c>
      <c r="D1794" s="16" t="s">
        <v>23</v>
      </c>
      <c r="E1794" s="16" t="s">
        <v>23</v>
      </c>
      <c r="F1794" s="16"/>
      <c r="G1794" s="47"/>
      <c r="H1794" s="47"/>
      <c r="I1794" s="18"/>
      <c r="J1794" s="18"/>
      <c r="K1794" s="18"/>
      <c r="L1794" s="25"/>
    </row>
    <row r="1795" hidden="1" customHeight="1" spans="1:12">
      <c r="A1795" s="14" t="str">
        <f t="shared" si="35"/>
        <v>0x000001EC</v>
      </c>
      <c r="B1795" s="15">
        <f>SUM_HEX(C1794:F1794,B1794,3)</f>
        <v>492</v>
      </c>
      <c r="C1795" s="16" t="s">
        <v>274</v>
      </c>
      <c r="D1795" s="16"/>
      <c r="E1795" s="16"/>
      <c r="F1795" s="16"/>
      <c r="G1795" s="48"/>
      <c r="H1795" s="48"/>
      <c r="I1795" s="18"/>
      <c r="J1795" s="18"/>
      <c r="K1795" s="18"/>
      <c r="L1795" s="25"/>
    </row>
    <row r="1796" hidden="1" customHeight="1" spans="1:12">
      <c r="A1796" s="14" t="str">
        <f t="shared" si="35"/>
        <v>0x000001F0</v>
      </c>
      <c r="B1796" s="15">
        <f>SUM_HEX(C1795:F1795,B1795,3)</f>
        <v>496</v>
      </c>
      <c r="C1796" s="16" t="s">
        <v>23</v>
      </c>
      <c r="D1796" s="16"/>
      <c r="E1796" s="16"/>
      <c r="F1796" s="16"/>
      <c r="G1796" s="46" t="s">
        <v>157</v>
      </c>
      <c r="H1796" s="46" t="s">
        <v>212</v>
      </c>
      <c r="I1796" s="18" t="s">
        <v>365</v>
      </c>
      <c r="J1796" s="18"/>
      <c r="K1796" s="18"/>
      <c r="L1796" s="25" t="s">
        <v>272</v>
      </c>
    </row>
    <row r="1797" hidden="1" customHeight="1" spans="1:12">
      <c r="A1797" s="14" t="str">
        <f t="shared" si="35"/>
        <v>0x000001F4</v>
      </c>
      <c r="B1797" s="15">
        <f>SUM_HEX(C1796:F1796,B1796,3)</f>
        <v>500</v>
      </c>
      <c r="C1797" s="16" t="s">
        <v>366</v>
      </c>
      <c r="D1797" s="16"/>
      <c r="E1797" s="16"/>
      <c r="F1797" s="16"/>
      <c r="G1797" s="47"/>
      <c r="H1797" s="47"/>
      <c r="I1797" s="18"/>
      <c r="J1797" s="18"/>
      <c r="K1797" s="18"/>
      <c r="L1797" s="25"/>
    </row>
    <row r="1798" hidden="1" customHeight="1" spans="1:12">
      <c r="A1798" s="14" t="str">
        <f t="shared" si="35"/>
        <v>0x000001F8</v>
      </c>
      <c r="B1798" s="15">
        <f>SUM_HEX(C1797:F1797,B1797,3)</f>
        <v>504</v>
      </c>
      <c r="C1798" s="16" t="s">
        <v>330</v>
      </c>
      <c r="D1798" s="16" t="s">
        <v>23</v>
      </c>
      <c r="E1798" s="16"/>
      <c r="F1798" s="16"/>
      <c r="G1798" s="47"/>
      <c r="H1798" s="47"/>
      <c r="I1798" s="18"/>
      <c r="J1798" s="18"/>
      <c r="K1798" s="18"/>
      <c r="L1798" s="25"/>
    </row>
    <row r="1799" hidden="1" customHeight="1" spans="1:12">
      <c r="A1799" s="14" t="str">
        <f t="shared" si="35"/>
        <v>0x00000200</v>
      </c>
      <c r="B1799" s="15">
        <f>SUM_HEX(C1798:F1798,B1798,3)</f>
        <v>512</v>
      </c>
      <c r="C1799" s="16" t="s">
        <v>274</v>
      </c>
      <c r="D1799" s="16"/>
      <c r="E1799" s="16"/>
      <c r="F1799" s="16"/>
      <c r="G1799" s="48"/>
      <c r="H1799" s="48"/>
      <c r="I1799" s="18"/>
      <c r="J1799" s="18"/>
      <c r="K1799" s="18"/>
      <c r="L1799" s="25"/>
    </row>
    <row r="1800" hidden="1" customHeight="1" spans="1:12">
      <c r="A1800" s="14" t="str">
        <f t="shared" si="35"/>
        <v>0x00000204</v>
      </c>
      <c r="B1800" s="15">
        <f>SUM_HEX(C1799:F1799,B1799,3)</f>
        <v>516</v>
      </c>
      <c r="C1800" s="16" t="s">
        <v>23</v>
      </c>
      <c r="D1800" s="16"/>
      <c r="E1800" s="16"/>
      <c r="F1800" s="16"/>
      <c r="G1800" s="46" t="s">
        <v>157</v>
      </c>
      <c r="H1800" s="46" t="s">
        <v>212</v>
      </c>
      <c r="I1800" s="18" t="s">
        <v>367</v>
      </c>
      <c r="J1800" s="18"/>
      <c r="K1800" s="18"/>
      <c r="L1800" s="25" t="s">
        <v>272</v>
      </c>
    </row>
    <row r="1801" hidden="1" customHeight="1" spans="1:12">
      <c r="A1801" s="14" t="str">
        <f t="shared" si="35"/>
        <v>0x00000208</v>
      </c>
      <c r="B1801" s="15">
        <f>SUM_HEX(C1800:F1800,B1800,3)</f>
        <v>520</v>
      </c>
      <c r="C1801" s="16" t="s">
        <v>368</v>
      </c>
      <c r="D1801" s="16"/>
      <c r="E1801" s="16"/>
      <c r="F1801" s="16"/>
      <c r="G1801" s="47"/>
      <c r="H1801" s="47"/>
      <c r="I1801" s="18"/>
      <c r="J1801" s="18"/>
      <c r="K1801" s="18"/>
      <c r="L1801" s="25"/>
    </row>
    <row r="1802" hidden="1" customHeight="1" spans="1:12">
      <c r="A1802" s="14" t="str">
        <f t="shared" si="35"/>
        <v>0x0000020C</v>
      </c>
      <c r="B1802" s="15">
        <f>SUM_HEX(C1801:F1801,B1801,3)</f>
        <v>524</v>
      </c>
      <c r="C1802" s="16" t="s">
        <v>330</v>
      </c>
      <c r="D1802" s="16" t="s">
        <v>23</v>
      </c>
      <c r="E1802" s="16"/>
      <c r="F1802" s="16"/>
      <c r="G1802" s="47"/>
      <c r="H1802" s="47"/>
      <c r="I1802" s="18"/>
      <c r="J1802" s="18"/>
      <c r="K1802" s="18"/>
      <c r="L1802" s="25"/>
    </row>
    <row r="1803" hidden="1" customHeight="1" spans="1:12">
      <c r="A1803" s="14" t="str">
        <f t="shared" si="35"/>
        <v>0x00000214</v>
      </c>
      <c r="B1803" s="15">
        <f>SUM_HEX(C1802:F1802,B1802,3)</f>
        <v>532</v>
      </c>
      <c r="C1803" s="16" t="s">
        <v>274</v>
      </c>
      <c r="D1803" s="16"/>
      <c r="E1803" s="16"/>
      <c r="F1803" s="16"/>
      <c r="G1803" s="48"/>
      <c r="H1803" s="48"/>
      <c r="I1803" s="18"/>
      <c r="J1803" s="18"/>
      <c r="K1803" s="18"/>
      <c r="L1803" s="25"/>
    </row>
    <row r="1804" hidden="1" customHeight="1" spans="1:12">
      <c r="A1804" s="14" t="str">
        <f t="shared" si="35"/>
        <v>0x00000218</v>
      </c>
      <c r="B1804" s="15">
        <f>SUM_HEX(C1803:F1803,B1803,3)</f>
        <v>536</v>
      </c>
      <c r="C1804" s="16" t="s">
        <v>23</v>
      </c>
      <c r="D1804" s="16" t="s">
        <v>23</v>
      </c>
      <c r="E1804" s="16" t="s">
        <v>23</v>
      </c>
      <c r="F1804" s="16"/>
      <c r="G1804" s="18" t="s">
        <v>24</v>
      </c>
      <c r="H1804" s="18" t="s">
        <v>536</v>
      </c>
      <c r="I1804" s="24" t="s">
        <v>370</v>
      </c>
      <c r="J1804" s="18"/>
      <c r="K1804" s="18"/>
      <c r="L1804" s="25"/>
    </row>
    <row r="1805" hidden="1" customHeight="1" spans="1:12">
      <c r="A1805" s="14" t="str">
        <f t="shared" si="35"/>
        <v>0x00000224</v>
      </c>
      <c r="B1805" s="15">
        <f>SUM_HEX(C1804:F1804,B1804,3)</f>
        <v>548</v>
      </c>
      <c r="C1805" s="16" t="s">
        <v>23</v>
      </c>
      <c r="D1805" s="16"/>
      <c r="E1805" s="16"/>
      <c r="F1805" s="16"/>
      <c r="G1805" s="18" t="s">
        <v>15</v>
      </c>
      <c r="H1805" s="18"/>
      <c r="I1805" s="24" t="s">
        <v>371</v>
      </c>
      <c r="J1805" s="18"/>
      <c r="K1805" s="18" t="s">
        <v>372</v>
      </c>
      <c r="L1805" s="25"/>
    </row>
    <row r="1806" hidden="1" customHeight="1" spans="1:12">
      <c r="A1806" s="14" t="str">
        <f t="shared" si="35"/>
        <v>0x00000228</v>
      </c>
      <c r="B1806" s="15">
        <f>SUM_HEX(C1805:F1805,B1805,3)</f>
        <v>552</v>
      </c>
      <c r="C1806" s="16" t="s">
        <v>23</v>
      </c>
      <c r="D1806" s="16"/>
      <c r="E1806" s="16"/>
      <c r="F1806" s="16"/>
      <c r="G1806" s="18" t="s">
        <v>15</v>
      </c>
      <c r="H1806" s="18"/>
      <c r="I1806" s="24" t="s">
        <v>373</v>
      </c>
      <c r="J1806" s="18"/>
      <c r="K1806" s="18" t="s">
        <v>318</v>
      </c>
      <c r="L1806" s="25" t="s">
        <v>374</v>
      </c>
    </row>
    <row r="1807" hidden="1" customHeight="1" spans="1:12">
      <c r="A1807" s="14" t="str">
        <f t="shared" si="35"/>
        <v>0x0000022C</v>
      </c>
      <c r="B1807" s="15">
        <f>SUM_HEX(C1806:F1806,B1806,3)</f>
        <v>556</v>
      </c>
      <c r="C1807" s="16" t="s">
        <v>23</v>
      </c>
      <c r="D1807" s="16"/>
      <c r="E1807" s="16"/>
      <c r="F1807" s="16"/>
      <c r="G1807" s="46" t="s">
        <v>157</v>
      </c>
      <c r="H1807" s="46" t="s">
        <v>326</v>
      </c>
      <c r="I1807" s="24" t="s">
        <v>375</v>
      </c>
      <c r="J1807" s="18"/>
      <c r="K1807" s="18" t="s">
        <v>328</v>
      </c>
      <c r="L1807" s="25" t="s">
        <v>272</v>
      </c>
    </row>
    <row r="1808" hidden="1" customHeight="1" spans="1:12">
      <c r="A1808" s="14" t="str">
        <f t="shared" si="35"/>
        <v>0x00000230</v>
      </c>
      <c r="B1808" s="15">
        <f>SUM_HEX(C1807:F1807,B1807,3)</f>
        <v>560</v>
      </c>
      <c r="C1808" s="16" t="s">
        <v>376</v>
      </c>
      <c r="D1808" s="16"/>
      <c r="E1808" s="16"/>
      <c r="F1808" s="16"/>
      <c r="G1808" s="47"/>
      <c r="H1808" s="47"/>
      <c r="I1808" s="18"/>
      <c r="J1808" s="18"/>
      <c r="K1808" s="18"/>
      <c r="L1808" s="25"/>
    </row>
    <row r="1809" hidden="1" customHeight="1" spans="1:12">
      <c r="A1809" s="14" t="str">
        <f t="shared" si="35"/>
        <v>0x00000234</v>
      </c>
      <c r="B1809" s="15">
        <f>SUM_HEX(C1808:F1808,B1808,3)</f>
        <v>564</v>
      </c>
      <c r="C1809" s="16" t="s">
        <v>330</v>
      </c>
      <c r="D1809" s="16" t="s">
        <v>330</v>
      </c>
      <c r="E1809" s="16" t="s">
        <v>330</v>
      </c>
      <c r="F1809" s="16"/>
      <c r="G1809" s="47"/>
      <c r="H1809" s="47"/>
      <c r="I1809" s="18"/>
      <c r="J1809" s="18"/>
      <c r="K1809" s="18"/>
      <c r="L1809" s="25"/>
    </row>
    <row r="1810" hidden="1" customHeight="1" spans="1:12">
      <c r="A1810" s="14" t="str">
        <f t="shared" si="35"/>
        <v>0x00000240</v>
      </c>
      <c r="B1810" s="15">
        <f>SUM_HEX(C1809:F1809,B1809,3)</f>
        <v>576</v>
      </c>
      <c r="C1810" s="16" t="s">
        <v>23</v>
      </c>
      <c r="D1810" s="16" t="s">
        <v>23</v>
      </c>
      <c r="E1810" s="16" t="s">
        <v>23</v>
      </c>
      <c r="F1810" s="16"/>
      <c r="G1810" s="47"/>
      <c r="H1810" s="47"/>
      <c r="I1810" s="18"/>
      <c r="J1810" s="18"/>
      <c r="K1810" s="18"/>
      <c r="L1810" s="25"/>
    </row>
    <row r="1811" hidden="1" customHeight="1" spans="1:12">
      <c r="A1811" s="14" t="str">
        <f t="shared" si="35"/>
        <v>0x0000024C</v>
      </c>
      <c r="B1811" s="15">
        <f>SUM_HEX(C1810:F1810,B1810,3)</f>
        <v>588</v>
      </c>
      <c r="C1811" s="16" t="s">
        <v>274</v>
      </c>
      <c r="D1811" s="16"/>
      <c r="E1811" s="16"/>
      <c r="F1811" s="16"/>
      <c r="G1811" s="48"/>
      <c r="H1811" s="48"/>
      <c r="I1811" s="18"/>
      <c r="J1811" s="18"/>
      <c r="K1811" s="18"/>
      <c r="L1811" s="25"/>
    </row>
    <row r="1812" hidden="1" customHeight="1" spans="1:12">
      <c r="A1812" s="14" t="str">
        <f t="shared" si="35"/>
        <v>0x00000250</v>
      </c>
      <c r="B1812" s="15">
        <f>SUM_HEX(C1811:F1811,B1811,3)</f>
        <v>592</v>
      </c>
      <c r="C1812" s="16" t="s">
        <v>23</v>
      </c>
      <c r="D1812" s="16"/>
      <c r="E1812" s="16"/>
      <c r="F1812" s="16"/>
      <c r="G1812" s="18" t="s">
        <v>15</v>
      </c>
      <c r="H1812" s="18"/>
      <c r="I1812" s="24" t="s">
        <v>377</v>
      </c>
      <c r="J1812" s="18"/>
      <c r="K1812" s="18" t="s">
        <v>318</v>
      </c>
      <c r="L1812" s="25" t="s">
        <v>374</v>
      </c>
    </row>
    <row r="1813" hidden="1" customHeight="1" spans="1:12">
      <c r="A1813" s="14" t="str">
        <f t="shared" si="35"/>
        <v>0x00000254</v>
      </c>
      <c r="B1813" s="15">
        <f>SUM_HEX(C1812:F1812,B1812,3)</f>
        <v>596</v>
      </c>
      <c r="C1813" s="16" t="s">
        <v>23</v>
      </c>
      <c r="D1813" s="16"/>
      <c r="E1813" s="16"/>
      <c r="F1813" s="16"/>
      <c r="G1813" s="46" t="s">
        <v>157</v>
      </c>
      <c r="H1813" s="46" t="s">
        <v>326</v>
      </c>
      <c r="I1813" s="24" t="s">
        <v>378</v>
      </c>
      <c r="J1813" s="18"/>
      <c r="K1813" s="18" t="s">
        <v>332</v>
      </c>
      <c r="L1813" s="25" t="s">
        <v>333</v>
      </c>
    </row>
    <row r="1814" hidden="1" customHeight="1" spans="1:12">
      <c r="A1814" s="14" t="str">
        <f t="shared" si="35"/>
        <v>0x00000258</v>
      </c>
      <c r="B1814" s="15">
        <f>SUM_HEX(C1813:F1813,B1813,3)</f>
        <v>600</v>
      </c>
      <c r="C1814" s="16" t="s">
        <v>379</v>
      </c>
      <c r="D1814" s="16"/>
      <c r="E1814" s="16"/>
      <c r="F1814" s="16"/>
      <c r="G1814" s="47"/>
      <c r="H1814" s="47"/>
      <c r="I1814" s="18"/>
      <c r="J1814" s="18"/>
      <c r="K1814" s="18"/>
      <c r="L1814" s="25"/>
    </row>
    <row r="1815" hidden="1" customHeight="1" spans="1:12">
      <c r="A1815" s="14" t="str">
        <f t="shared" si="35"/>
        <v>0x0000025C</v>
      </c>
      <c r="B1815" s="15">
        <f>SUM_HEX(C1814:F1814,B1814,3)</f>
        <v>604</v>
      </c>
      <c r="C1815" s="16" t="s">
        <v>23</v>
      </c>
      <c r="D1815" s="16" t="s">
        <v>23</v>
      </c>
      <c r="E1815" s="16" t="s">
        <v>23</v>
      </c>
      <c r="F1815" s="16"/>
      <c r="G1815" s="47"/>
      <c r="H1815" s="47"/>
      <c r="I1815" s="18"/>
      <c r="J1815" s="18"/>
      <c r="K1815" s="18"/>
      <c r="L1815" s="25"/>
    </row>
    <row r="1816" hidden="1" customHeight="1" spans="1:12">
      <c r="A1816" s="14" t="str">
        <f t="shared" si="35"/>
        <v>0x00000268</v>
      </c>
      <c r="B1816" s="15">
        <f>SUM_HEX(C1815:F1815,B1815,3)</f>
        <v>616</v>
      </c>
      <c r="C1816" s="16" t="s">
        <v>23</v>
      </c>
      <c r="D1816" s="16" t="s">
        <v>23</v>
      </c>
      <c r="E1816" s="16" t="s">
        <v>23</v>
      </c>
      <c r="F1816" s="16"/>
      <c r="G1816" s="47"/>
      <c r="H1816" s="47"/>
      <c r="I1816" s="18"/>
      <c r="J1816" s="18"/>
      <c r="K1816" s="18"/>
      <c r="L1816" s="25"/>
    </row>
    <row r="1817" hidden="1" customHeight="1" spans="1:12">
      <c r="A1817" s="14" t="str">
        <f t="shared" si="35"/>
        <v>0x00000274</v>
      </c>
      <c r="B1817" s="15">
        <f>SUM_HEX(C1816:F1816,B1816,3)</f>
        <v>628</v>
      </c>
      <c r="C1817" s="16" t="s">
        <v>274</v>
      </c>
      <c r="D1817" s="16"/>
      <c r="E1817" s="16"/>
      <c r="F1817" s="16"/>
      <c r="G1817" s="48"/>
      <c r="H1817" s="48"/>
      <c r="I1817" s="18"/>
      <c r="J1817" s="18"/>
      <c r="K1817" s="18"/>
      <c r="L1817" s="25"/>
    </row>
    <row r="1818" hidden="1" customHeight="1" spans="1:12">
      <c r="A1818" s="14" t="str">
        <f t="shared" si="35"/>
        <v>0x00000278</v>
      </c>
      <c r="B1818" s="15">
        <f>SUM_HEX(C1817:F1817,B1817,3)</f>
        <v>632</v>
      </c>
      <c r="C1818" s="16" t="s">
        <v>23</v>
      </c>
      <c r="D1818" s="16"/>
      <c r="E1818" s="16"/>
      <c r="F1818" s="16"/>
      <c r="G1818" s="18" t="s">
        <v>15</v>
      </c>
      <c r="H1818" s="18"/>
      <c r="I1818" s="24" t="s">
        <v>380</v>
      </c>
      <c r="J1818" s="18"/>
      <c r="K1818" s="18" t="s">
        <v>318</v>
      </c>
      <c r="L1818" s="25" t="s">
        <v>374</v>
      </c>
    </row>
    <row r="1819" hidden="1" customHeight="1" spans="1:12">
      <c r="A1819" s="14" t="str">
        <f t="shared" si="35"/>
        <v>0x0000027C</v>
      </c>
      <c r="B1819" s="15">
        <f>SUM_HEX(C1818:F1818,B1818,3)</f>
        <v>636</v>
      </c>
      <c r="C1819" s="16" t="s">
        <v>23</v>
      </c>
      <c r="D1819" s="16"/>
      <c r="E1819" s="16"/>
      <c r="F1819" s="16"/>
      <c r="G1819" s="46" t="s">
        <v>157</v>
      </c>
      <c r="H1819" s="46" t="s">
        <v>335</v>
      </c>
      <c r="I1819" s="24" t="s">
        <v>381</v>
      </c>
      <c r="J1819" s="18"/>
      <c r="K1819" s="18" t="s">
        <v>337</v>
      </c>
      <c r="L1819" s="25"/>
    </row>
    <row r="1820" hidden="1" customHeight="1" spans="1:12">
      <c r="A1820" s="14" t="str">
        <f t="shared" si="35"/>
        <v>0x00000280</v>
      </c>
      <c r="B1820" s="15">
        <f>SUM_HEX(C1819:F1819,B1819,3)</f>
        <v>640</v>
      </c>
      <c r="C1820" s="16" t="s">
        <v>382</v>
      </c>
      <c r="D1820" s="16"/>
      <c r="E1820" s="16"/>
      <c r="F1820" s="16"/>
      <c r="G1820" s="47"/>
      <c r="H1820" s="47"/>
      <c r="I1820" s="18"/>
      <c r="J1820" s="18"/>
      <c r="K1820" s="18"/>
      <c r="L1820" s="25"/>
    </row>
    <row r="1821" hidden="1" customHeight="1" spans="1:12">
      <c r="A1821" s="14" t="str">
        <f t="shared" si="35"/>
        <v>0x00000284</v>
      </c>
      <c r="B1821" s="15">
        <f>SUM_HEX(C1820:F1820,B1820,3)</f>
        <v>644</v>
      </c>
      <c r="C1821" s="16" t="s">
        <v>274</v>
      </c>
      <c r="D1821" s="16" t="s">
        <v>23</v>
      </c>
      <c r="E1821" s="16"/>
      <c r="F1821" s="16"/>
      <c r="G1821" s="47"/>
      <c r="H1821" s="47"/>
      <c r="I1821" s="18"/>
      <c r="J1821" s="18"/>
      <c r="K1821" s="18"/>
      <c r="L1821" s="25"/>
    </row>
    <row r="1822" hidden="1" customHeight="1" spans="1:12">
      <c r="A1822" s="14" t="str">
        <f t="shared" si="35"/>
        <v>0x0000028C</v>
      </c>
      <c r="B1822" s="15">
        <f>SUM_HEX(C1821:F1821,B1821,3)</f>
        <v>652</v>
      </c>
      <c r="C1822" s="16" t="s">
        <v>274</v>
      </c>
      <c r="D1822" s="16"/>
      <c r="E1822" s="16"/>
      <c r="F1822" s="16"/>
      <c r="G1822" s="48"/>
      <c r="H1822" s="48"/>
      <c r="I1822" s="18"/>
      <c r="J1822" s="18"/>
      <c r="K1822" s="18"/>
      <c r="L1822" s="25"/>
    </row>
    <row r="1823" hidden="1" customHeight="1" spans="1:12">
      <c r="A1823" s="14" t="str">
        <f t="shared" si="35"/>
        <v>0x00000290</v>
      </c>
      <c r="B1823" s="15">
        <f>SUM_HEX(C1822:F1822,B1822,3)</f>
        <v>656</v>
      </c>
      <c r="C1823" s="16" t="s">
        <v>23</v>
      </c>
      <c r="D1823" s="16"/>
      <c r="E1823" s="16"/>
      <c r="F1823" s="16"/>
      <c r="G1823" s="46" t="s">
        <v>157</v>
      </c>
      <c r="H1823" s="46" t="s">
        <v>335</v>
      </c>
      <c r="I1823" s="24" t="s">
        <v>383</v>
      </c>
      <c r="J1823" s="18"/>
      <c r="K1823" s="18" t="s">
        <v>337</v>
      </c>
      <c r="L1823" s="25"/>
    </row>
    <row r="1824" hidden="1" customHeight="1" spans="1:12">
      <c r="A1824" s="14" t="str">
        <f t="shared" si="35"/>
        <v>0x00000294</v>
      </c>
      <c r="B1824" s="15">
        <f>SUM_HEX(C1823:F1823,B1823,3)</f>
        <v>660</v>
      </c>
      <c r="C1824" s="16" t="s">
        <v>384</v>
      </c>
      <c r="D1824" s="16"/>
      <c r="E1824" s="16"/>
      <c r="F1824" s="16"/>
      <c r="G1824" s="47"/>
      <c r="H1824" s="47"/>
      <c r="I1824" s="18"/>
      <c r="J1824" s="18"/>
      <c r="K1824" s="18"/>
      <c r="L1824" s="25"/>
    </row>
    <row r="1825" hidden="1" customHeight="1" spans="1:12">
      <c r="A1825" s="14" t="str">
        <f t="shared" si="35"/>
        <v>0x00000298</v>
      </c>
      <c r="B1825" s="15">
        <f>SUM_HEX(C1824:F1824,B1824,3)</f>
        <v>664</v>
      </c>
      <c r="C1825" s="16" t="s">
        <v>274</v>
      </c>
      <c r="D1825" s="16" t="s">
        <v>23</v>
      </c>
      <c r="E1825" s="16"/>
      <c r="F1825" s="16"/>
      <c r="G1825" s="47"/>
      <c r="H1825" s="47"/>
      <c r="I1825" s="18"/>
      <c r="J1825" s="18"/>
      <c r="K1825" s="18"/>
      <c r="L1825" s="25"/>
    </row>
    <row r="1826" hidden="1" customHeight="1" spans="1:12">
      <c r="A1826" s="14" t="str">
        <f t="shared" si="35"/>
        <v>0x000002A0</v>
      </c>
      <c r="B1826" s="15">
        <f>SUM_HEX(C1825:F1825,B1825,3)</f>
        <v>672</v>
      </c>
      <c r="C1826" s="16" t="s">
        <v>274</v>
      </c>
      <c r="D1826" s="16"/>
      <c r="E1826" s="16"/>
      <c r="F1826" s="16"/>
      <c r="G1826" s="48"/>
      <c r="H1826" s="48"/>
      <c r="I1826" s="18"/>
      <c r="J1826" s="18"/>
      <c r="K1826" s="18"/>
      <c r="L1826" s="25"/>
    </row>
    <row r="1827" hidden="1" customHeight="1" spans="1:12">
      <c r="A1827" s="14" t="str">
        <f t="shared" si="35"/>
        <v>0x000002A4</v>
      </c>
      <c r="B1827" s="15">
        <f>SUM_HEX(C1826:F1826,B1826,3)</f>
        <v>676</v>
      </c>
      <c r="C1827" s="16" t="s">
        <v>23</v>
      </c>
      <c r="D1827" s="16"/>
      <c r="E1827" s="16"/>
      <c r="F1827" s="16"/>
      <c r="G1827" s="46" t="s">
        <v>157</v>
      </c>
      <c r="H1827" s="46" t="s">
        <v>335</v>
      </c>
      <c r="I1827" s="24" t="s">
        <v>385</v>
      </c>
      <c r="J1827" s="18"/>
      <c r="K1827" s="18" t="s">
        <v>337</v>
      </c>
      <c r="L1827" s="25"/>
    </row>
    <row r="1828" hidden="1" customHeight="1" spans="1:12">
      <c r="A1828" s="14" t="str">
        <f t="shared" si="35"/>
        <v>0x000002A8</v>
      </c>
      <c r="B1828" s="15">
        <f>SUM_HEX(C1827:F1827,B1827,3)</f>
        <v>680</v>
      </c>
      <c r="C1828" s="16" t="s">
        <v>386</v>
      </c>
      <c r="D1828" s="16"/>
      <c r="E1828" s="16"/>
      <c r="F1828" s="16"/>
      <c r="G1828" s="47"/>
      <c r="H1828" s="47"/>
      <c r="I1828" s="18"/>
      <c r="J1828" s="18"/>
      <c r="K1828" s="18"/>
      <c r="L1828" s="25"/>
    </row>
    <row r="1829" hidden="1" customHeight="1" spans="1:12">
      <c r="A1829" s="14" t="str">
        <f t="shared" si="35"/>
        <v>0x000002AC</v>
      </c>
      <c r="B1829" s="15">
        <f>SUM_HEX(C1828:F1828,B1828,3)</f>
        <v>684</v>
      </c>
      <c r="C1829" s="16" t="s">
        <v>274</v>
      </c>
      <c r="D1829" s="16" t="s">
        <v>23</v>
      </c>
      <c r="E1829" s="16"/>
      <c r="F1829" s="16"/>
      <c r="G1829" s="47"/>
      <c r="H1829" s="47"/>
      <c r="I1829" s="18"/>
      <c r="J1829" s="18"/>
      <c r="K1829" s="18"/>
      <c r="L1829" s="25"/>
    </row>
    <row r="1830" hidden="1" customHeight="1" spans="1:12">
      <c r="A1830" s="14" t="str">
        <f t="shared" si="35"/>
        <v>0x000002B4</v>
      </c>
      <c r="B1830" s="15">
        <f>SUM_HEX(C1829:F1829,B1829,3)</f>
        <v>692</v>
      </c>
      <c r="C1830" s="16" t="s">
        <v>274</v>
      </c>
      <c r="D1830" s="16"/>
      <c r="E1830" s="16"/>
      <c r="F1830" s="16"/>
      <c r="G1830" s="48"/>
      <c r="H1830" s="48"/>
      <c r="I1830" s="18"/>
      <c r="J1830" s="18"/>
      <c r="K1830" s="18"/>
      <c r="L1830" s="25"/>
    </row>
    <row r="1831" hidden="1" customHeight="1" spans="1:12">
      <c r="A1831" s="14" t="str">
        <f t="shared" si="35"/>
        <v>0x000002B8</v>
      </c>
      <c r="B1831" s="15">
        <f>SUM_HEX(C1830:F1830,B1830,3)</f>
        <v>696</v>
      </c>
      <c r="C1831" s="16" t="s">
        <v>23</v>
      </c>
      <c r="D1831" s="16"/>
      <c r="E1831" s="16"/>
      <c r="F1831" s="16"/>
      <c r="G1831" s="18" t="s">
        <v>15</v>
      </c>
      <c r="H1831" s="18"/>
      <c r="I1831" s="24" t="s">
        <v>387</v>
      </c>
      <c r="J1831" s="18"/>
      <c r="K1831" s="18" t="s">
        <v>318</v>
      </c>
      <c r="L1831" s="25" t="s">
        <v>374</v>
      </c>
    </row>
    <row r="1832" hidden="1" customHeight="1" spans="1:12">
      <c r="A1832" s="14" t="str">
        <f t="shared" ref="A1832:A1895" si="36">"0x"&amp;DEC2HEX(B1832,8)</f>
        <v>0x000002BC</v>
      </c>
      <c r="B1832" s="15">
        <f>SUM_HEX(C1831:F1831,B1831,3)</f>
        <v>700</v>
      </c>
      <c r="C1832" s="16" t="s">
        <v>23</v>
      </c>
      <c r="D1832" s="16"/>
      <c r="E1832" s="16"/>
      <c r="F1832" s="16"/>
      <c r="G1832" s="46" t="s">
        <v>157</v>
      </c>
      <c r="H1832" s="46" t="s">
        <v>388</v>
      </c>
      <c r="I1832" s="18" t="s">
        <v>389</v>
      </c>
      <c r="J1832" s="18"/>
      <c r="K1832" s="18"/>
      <c r="L1832" s="25"/>
    </row>
    <row r="1833" hidden="1" customHeight="1" spans="1:12">
      <c r="A1833" s="14" t="str">
        <f t="shared" si="36"/>
        <v>0x000002C0</v>
      </c>
      <c r="B1833" s="15">
        <f>SUM_HEX(C1832:F1832,B1832,3)</f>
        <v>704</v>
      </c>
      <c r="C1833" s="16" t="s">
        <v>390</v>
      </c>
      <c r="D1833" s="16"/>
      <c r="E1833" s="16"/>
      <c r="F1833" s="16"/>
      <c r="G1833" s="47"/>
      <c r="H1833" s="47"/>
      <c r="I1833" s="18"/>
      <c r="J1833" s="18"/>
      <c r="K1833" s="18"/>
      <c r="L1833" s="25"/>
    </row>
    <row r="1834" hidden="1" customHeight="1" spans="1:12">
      <c r="A1834" s="14" t="str">
        <f t="shared" si="36"/>
        <v>0x000002C4</v>
      </c>
      <c r="B1834" s="15">
        <f>SUM_HEX(C1833:F1833,B1833,3)</f>
        <v>708</v>
      </c>
      <c r="C1834" s="16" t="s">
        <v>391</v>
      </c>
      <c r="D1834" s="16" t="s">
        <v>391</v>
      </c>
      <c r="E1834" s="16"/>
      <c r="F1834" s="16"/>
      <c r="G1834" s="47"/>
      <c r="H1834" s="47"/>
      <c r="I1834" s="18"/>
      <c r="J1834" s="18"/>
      <c r="K1834" s="18"/>
      <c r="L1834" s="25"/>
    </row>
    <row r="1835" hidden="1" customHeight="1" spans="1:12">
      <c r="A1835" s="14" t="str">
        <f t="shared" si="36"/>
        <v>0x000002C8</v>
      </c>
      <c r="B1835" s="15">
        <f>SUM_HEX(C1834:F1834,B1834,3)</f>
        <v>712</v>
      </c>
      <c r="C1835" s="16" t="s">
        <v>274</v>
      </c>
      <c r="D1835" s="16"/>
      <c r="E1835" s="16"/>
      <c r="F1835" s="16"/>
      <c r="G1835" s="48"/>
      <c r="H1835" s="48"/>
      <c r="I1835" s="18"/>
      <c r="J1835" s="18"/>
      <c r="K1835" s="18"/>
      <c r="L1835" s="25"/>
    </row>
    <row r="1836" hidden="1" customHeight="1" spans="1:12">
      <c r="A1836" s="14" t="str">
        <f t="shared" si="36"/>
        <v>0x000002CC</v>
      </c>
      <c r="B1836" s="15">
        <f>SUM_HEX(C1835:F1835,B1835,3)</f>
        <v>716</v>
      </c>
      <c r="C1836" s="16" t="s">
        <v>392</v>
      </c>
      <c r="D1836" s="16"/>
      <c r="E1836" s="16"/>
      <c r="F1836" s="16"/>
      <c r="G1836" s="18" t="s">
        <v>393</v>
      </c>
      <c r="H1836" s="18"/>
      <c r="I1836" s="24" t="s">
        <v>394</v>
      </c>
      <c r="J1836" s="18"/>
      <c r="K1836" s="18"/>
      <c r="L1836" s="25"/>
    </row>
    <row r="1837" hidden="1" customHeight="1" spans="1:12">
      <c r="A1837" s="14" t="str">
        <f t="shared" si="36"/>
        <v>0x000002CD</v>
      </c>
      <c r="B1837" s="15">
        <f>SUM_HEX(C1836:F1836,B1836,3)</f>
        <v>717</v>
      </c>
      <c r="C1837" s="16" t="s">
        <v>392</v>
      </c>
      <c r="D1837" s="16"/>
      <c r="E1837" s="16"/>
      <c r="F1837" s="16"/>
      <c r="G1837" s="18" t="s">
        <v>393</v>
      </c>
      <c r="H1837" s="18"/>
      <c r="I1837" s="24" t="s">
        <v>395</v>
      </c>
      <c r="J1837" s="18"/>
      <c r="K1837" s="18"/>
      <c r="L1837" s="25"/>
    </row>
    <row r="1838" hidden="1" customHeight="1" spans="1:12">
      <c r="A1838" s="14" t="str">
        <f t="shared" si="36"/>
        <v>0x000002CE</v>
      </c>
      <c r="B1838" s="15">
        <f>SUM_HEX(C1837:F1837,B1837,3)</f>
        <v>718</v>
      </c>
      <c r="C1838" s="16" t="s">
        <v>392</v>
      </c>
      <c r="D1838" s="16"/>
      <c r="E1838" s="16"/>
      <c r="F1838" s="16"/>
      <c r="G1838" s="18" t="s">
        <v>393</v>
      </c>
      <c r="H1838" s="18"/>
      <c r="I1838" s="24" t="s">
        <v>396</v>
      </c>
      <c r="J1838" s="18"/>
      <c r="K1838" s="18"/>
      <c r="L1838" s="25"/>
    </row>
    <row r="1839" hidden="1" customHeight="1" spans="1:12">
      <c r="A1839" s="14" t="str">
        <f t="shared" si="36"/>
        <v>0x000002CF</v>
      </c>
      <c r="B1839" s="15">
        <f>SUM_HEX(C1838:F1838,B1838,3)</f>
        <v>719</v>
      </c>
      <c r="C1839" s="16" t="s">
        <v>392</v>
      </c>
      <c r="D1839" s="16"/>
      <c r="E1839" s="16"/>
      <c r="F1839" s="16"/>
      <c r="G1839" s="17"/>
      <c r="H1839" s="17"/>
      <c r="I1839" s="22"/>
      <c r="J1839" s="17"/>
      <c r="K1839" s="17"/>
      <c r="L1839" s="23"/>
    </row>
    <row r="1840" hidden="1" customHeight="1" spans="1:12">
      <c r="A1840" s="14" t="str">
        <f t="shared" si="36"/>
        <v>0x000002D0</v>
      </c>
      <c r="B1840" s="15">
        <f>SUM_HEX(C1839:F1839,B1839,3)</f>
        <v>720</v>
      </c>
      <c r="C1840" s="16" t="s">
        <v>316</v>
      </c>
      <c r="D1840" s="16"/>
      <c r="E1840" s="16"/>
      <c r="F1840" s="16"/>
      <c r="G1840" s="18" t="s">
        <v>212</v>
      </c>
      <c r="H1840" s="18"/>
      <c r="I1840" s="24" t="s">
        <v>397</v>
      </c>
      <c r="J1840" s="18"/>
      <c r="K1840" s="18"/>
      <c r="L1840" s="25"/>
    </row>
    <row r="1841" hidden="1" customHeight="1" spans="1:12">
      <c r="A1841" s="14" t="str">
        <f t="shared" si="36"/>
        <v>0x000002D4</v>
      </c>
      <c r="B1841" s="15">
        <f>SUM_HEX(C1840:F1840,B1840,3)</f>
        <v>724</v>
      </c>
      <c r="C1841" s="16" t="s">
        <v>391</v>
      </c>
      <c r="D1841" s="16"/>
      <c r="E1841" s="16"/>
      <c r="F1841" s="16"/>
      <c r="G1841" s="18" t="s">
        <v>398</v>
      </c>
      <c r="H1841" s="18"/>
      <c r="I1841" s="24" t="s">
        <v>399</v>
      </c>
      <c r="J1841" s="18"/>
      <c r="K1841" s="18"/>
      <c r="L1841" s="25"/>
    </row>
    <row r="1842" hidden="1" customHeight="1" spans="1:12">
      <c r="A1842" s="14" t="str">
        <f t="shared" si="36"/>
        <v>0x000002D6</v>
      </c>
      <c r="B1842" s="15">
        <f>SUM_HEX(C1841:F1841,B1841,3)</f>
        <v>726</v>
      </c>
      <c r="C1842" s="16" t="s">
        <v>391</v>
      </c>
      <c r="D1842" s="16"/>
      <c r="E1842" s="16"/>
      <c r="F1842" s="16"/>
      <c r="G1842" s="18" t="s">
        <v>398</v>
      </c>
      <c r="H1842" s="18"/>
      <c r="I1842" s="24" t="s">
        <v>400</v>
      </c>
      <c r="J1842" s="18"/>
      <c r="K1842" s="18"/>
      <c r="L1842" s="25"/>
    </row>
    <row r="1843" hidden="1" customHeight="1" spans="1:12">
      <c r="A1843" s="14" t="str">
        <f t="shared" si="36"/>
        <v>0x000002D8</v>
      </c>
      <c r="B1843" s="15">
        <f>SUM_HEX(C1842:F1842,B1842,3)</f>
        <v>728</v>
      </c>
      <c r="C1843" s="16" t="s">
        <v>401</v>
      </c>
      <c r="D1843" s="16"/>
      <c r="E1843" s="16"/>
      <c r="F1843" s="16"/>
      <c r="G1843" s="17"/>
      <c r="H1843" s="17"/>
      <c r="I1843" s="22"/>
      <c r="J1843" s="17"/>
      <c r="K1843" s="17"/>
      <c r="L1843" s="23"/>
    </row>
    <row r="1844" hidden="1" customHeight="1" spans="1:12">
      <c r="A1844" s="14" t="str">
        <f t="shared" si="36"/>
        <v>0x000002DC</v>
      </c>
      <c r="B1844" s="15">
        <f>SUM_HEX(C1843:F1843,B1843,3)</f>
        <v>732</v>
      </c>
      <c r="C1844" s="16" t="s">
        <v>401</v>
      </c>
      <c r="D1844" s="16"/>
      <c r="E1844" s="16"/>
      <c r="F1844" s="16"/>
      <c r="G1844" s="17"/>
      <c r="H1844" s="17"/>
      <c r="I1844" s="22"/>
      <c r="J1844" s="17"/>
      <c r="K1844" s="17"/>
      <c r="L1844" s="23"/>
    </row>
    <row r="1845" hidden="1" customHeight="1" spans="1:12">
      <c r="A1845" s="14" t="str">
        <f t="shared" si="36"/>
        <v>0x000002E0</v>
      </c>
      <c r="B1845" s="15">
        <f>SUM_HEX(C1844:F1844,B1844,3)</f>
        <v>736</v>
      </c>
      <c r="C1845" s="16" t="s">
        <v>23</v>
      </c>
      <c r="D1845" s="16"/>
      <c r="E1845" s="16"/>
      <c r="F1845" s="16"/>
      <c r="G1845" s="18" t="s">
        <v>212</v>
      </c>
      <c r="H1845" s="18"/>
      <c r="I1845" s="24" t="s">
        <v>402</v>
      </c>
      <c r="J1845" s="18"/>
      <c r="K1845" s="18"/>
      <c r="L1845" s="25" t="s">
        <v>272</v>
      </c>
    </row>
    <row r="1846" hidden="1" customHeight="1" spans="1:12">
      <c r="A1846" s="14" t="str">
        <f t="shared" si="36"/>
        <v>0x000002E4</v>
      </c>
      <c r="B1846" s="15">
        <f>SUM_HEX(C1845:F1845,B1845,3)</f>
        <v>740</v>
      </c>
      <c r="C1846" s="16" t="s">
        <v>148</v>
      </c>
      <c r="D1846" s="16"/>
      <c r="E1846" s="16"/>
      <c r="F1846" s="16"/>
      <c r="G1846" s="18" t="s">
        <v>212</v>
      </c>
      <c r="H1846" s="18"/>
      <c r="I1846" s="24" t="s">
        <v>403</v>
      </c>
      <c r="J1846" s="18"/>
      <c r="K1846" s="18"/>
      <c r="L1846" s="25" t="s">
        <v>272</v>
      </c>
    </row>
    <row r="1847" hidden="1" customHeight="1" spans="1:12">
      <c r="A1847" s="14" t="str">
        <f t="shared" si="36"/>
        <v>0x000002E8</v>
      </c>
      <c r="B1847" s="15">
        <f>SUM_HEX(C1846:F1846,B1846,3)</f>
        <v>744</v>
      </c>
      <c r="C1847" s="16" t="s">
        <v>274</v>
      </c>
      <c r="D1847" s="16"/>
      <c r="E1847" s="16"/>
      <c r="F1847" s="16"/>
      <c r="G1847" s="18" t="s">
        <v>15</v>
      </c>
      <c r="H1847" s="18"/>
      <c r="I1847" s="24" t="s">
        <v>404</v>
      </c>
      <c r="J1847" s="18"/>
      <c r="K1847" s="18" t="s">
        <v>405</v>
      </c>
      <c r="L1847" s="25" t="s">
        <v>280</v>
      </c>
    </row>
    <row r="1848" hidden="1" customHeight="1" spans="1:12">
      <c r="A1848" s="14" t="str">
        <f t="shared" si="36"/>
        <v>0x000002EC</v>
      </c>
      <c r="B1848" s="15">
        <f>SUM_HEX(C1847:F1847,B1847,3)</f>
        <v>748</v>
      </c>
      <c r="C1848" s="16" t="s">
        <v>23</v>
      </c>
      <c r="D1848" s="16"/>
      <c r="E1848" s="16"/>
      <c r="F1848" s="16"/>
      <c r="G1848" s="18" t="s">
        <v>212</v>
      </c>
      <c r="H1848" s="18"/>
      <c r="I1848" s="24" t="s">
        <v>406</v>
      </c>
      <c r="J1848" s="18"/>
      <c r="K1848" s="18"/>
      <c r="L1848" s="25"/>
    </row>
    <row r="1849" hidden="1" customHeight="1" spans="1:12">
      <c r="A1849" s="14" t="str">
        <f t="shared" si="36"/>
        <v>0x000002F0</v>
      </c>
      <c r="B1849" s="15">
        <f>SUM_HEX(C1848:F1848,B1848,3)</f>
        <v>752</v>
      </c>
      <c r="C1849" s="16" t="s">
        <v>23</v>
      </c>
      <c r="D1849" s="16"/>
      <c r="E1849" s="16"/>
      <c r="F1849" s="16"/>
      <c r="G1849" s="18" t="s">
        <v>212</v>
      </c>
      <c r="H1849" s="18"/>
      <c r="I1849" s="24" t="s">
        <v>407</v>
      </c>
      <c r="J1849" s="18"/>
      <c r="K1849" s="18"/>
      <c r="L1849" s="25"/>
    </row>
    <row r="1850" hidden="1" customHeight="1" spans="1:12">
      <c r="A1850" s="14" t="str">
        <f t="shared" si="36"/>
        <v>0x000002F4</v>
      </c>
      <c r="B1850" s="15">
        <f>SUM_HEX(C1849:F1849,B1849,3)</f>
        <v>756</v>
      </c>
      <c r="C1850" s="16" t="s">
        <v>23</v>
      </c>
      <c r="D1850" s="16"/>
      <c r="E1850" s="16"/>
      <c r="F1850" s="16"/>
      <c r="G1850" s="18" t="s">
        <v>212</v>
      </c>
      <c r="H1850" s="18"/>
      <c r="I1850" s="24" t="s">
        <v>408</v>
      </c>
      <c r="J1850" s="18"/>
      <c r="K1850" s="18"/>
      <c r="L1850" s="25" t="s">
        <v>272</v>
      </c>
    </row>
    <row r="1851" hidden="1" customHeight="1" spans="1:12">
      <c r="A1851" s="14" t="str">
        <f t="shared" si="36"/>
        <v>0x000002F8</v>
      </c>
      <c r="B1851" s="15">
        <f>SUM_HEX(C1850:F1850,B1850,3)</f>
        <v>760</v>
      </c>
      <c r="C1851" s="16" t="s">
        <v>23</v>
      </c>
      <c r="D1851" s="16"/>
      <c r="E1851" s="16"/>
      <c r="F1851" s="16"/>
      <c r="G1851" s="18" t="s">
        <v>212</v>
      </c>
      <c r="H1851" s="18"/>
      <c r="I1851" s="24" t="s">
        <v>409</v>
      </c>
      <c r="J1851" s="18"/>
      <c r="K1851" s="18"/>
      <c r="L1851" s="25" t="s">
        <v>272</v>
      </c>
    </row>
    <row r="1852" hidden="1" customHeight="1" spans="1:12">
      <c r="A1852" s="14" t="str">
        <f t="shared" si="36"/>
        <v>0x000002FC</v>
      </c>
      <c r="B1852" s="15">
        <f>SUM_HEX(C1851:F1851,B1851,3)</f>
        <v>764</v>
      </c>
      <c r="C1852" s="16" t="s">
        <v>23</v>
      </c>
      <c r="D1852" s="16"/>
      <c r="E1852" s="16"/>
      <c r="F1852" s="16"/>
      <c r="G1852" s="18" t="s">
        <v>212</v>
      </c>
      <c r="H1852" s="18"/>
      <c r="I1852" s="24" t="s">
        <v>410</v>
      </c>
      <c r="J1852" s="18"/>
      <c r="K1852" s="18"/>
      <c r="L1852" s="25"/>
    </row>
    <row r="1853" hidden="1" customHeight="1" spans="1:12">
      <c r="A1853" s="14" t="str">
        <f t="shared" si="36"/>
        <v>0x00000300</v>
      </c>
      <c r="B1853" s="15">
        <f>SUM_HEX(C1852:F1852,B1852,3)</f>
        <v>768</v>
      </c>
      <c r="C1853" s="16" t="s">
        <v>23</v>
      </c>
      <c r="D1853" s="16"/>
      <c r="E1853" s="16"/>
      <c r="F1853" s="16"/>
      <c r="G1853" s="18" t="s">
        <v>15</v>
      </c>
      <c r="H1853" s="18"/>
      <c r="I1853" s="24" t="s">
        <v>411</v>
      </c>
      <c r="J1853" s="18"/>
      <c r="K1853" s="18" t="s">
        <v>328</v>
      </c>
      <c r="L1853" s="25"/>
    </row>
    <row r="1854" hidden="1" customHeight="1" spans="1:12">
      <c r="A1854" s="14" t="str">
        <f t="shared" si="36"/>
        <v>0x00000304</v>
      </c>
      <c r="B1854" s="15">
        <f>SUM_HEX(C1853:F1853,B1853,3)</f>
        <v>772</v>
      </c>
      <c r="C1854" s="16" t="s">
        <v>148</v>
      </c>
      <c r="D1854" s="16"/>
      <c r="E1854" s="16"/>
      <c r="F1854" s="16"/>
      <c r="G1854" s="18" t="s">
        <v>212</v>
      </c>
      <c r="H1854" s="18"/>
      <c r="I1854" s="24" t="s">
        <v>412</v>
      </c>
      <c r="J1854" s="18"/>
      <c r="K1854" s="18"/>
      <c r="L1854" s="25"/>
    </row>
    <row r="1855" hidden="1" customHeight="1" spans="1:12">
      <c r="A1855" s="14" t="str">
        <f t="shared" si="36"/>
        <v>0x00000308</v>
      </c>
      <c r="B1855" s="15">
        <f>SUM_HEX(C1854:F1854,B1854,3)</f>
        <v>776</v>
      </c>
      <c r="C1855" s="16" t="s">
        <v>23</v>
      </c>
      <c r="D1855" s="16" t="s">
        <v>23</v>
      </c>
      <c r="E1855" s="16" t="s">
        <v>148</v>
      </c>
      <c r="F1855" s="16"/>
      <c r="G1855" s="18" t="s">
        <v>326</v>
      </c>
      <c r="H1855" s="18"/>
      <c r="I1855" s="24" t="s">
        <v>413</v>
      </c>
      <c r="J1855" s="18"/>
      <c r="K1855" s="18"/>
      <c r="L1855" s="25"/>
    </row>
    <row r="1856" hidden="1" customHeight="1" spans="1:12">
      <c r="A1856" s="14" t="str">
        <f t="shared" si="36"/>
        <v>0x00000314</v>
      </c>
      <c r="B1856" s="15">
        <f>SUM_HEX(C1855:F1855,B1855,3)</f>
        <v>788</v>
      </c>
      <c r="C1856" s="16" t="s">
        <v>148</v>
      </c>
      <c r="D1856" s="16"/>
      <c r="E1856" s="16"/>
      <c r="F1856" s="16"/>
      <c r="G1856" s="18" t="s">
        <v>212</v>
      </c>
      <c r="H1856" s="18"/>
      <c r="I1856" s="24" t="s">
        <v>414</v>
      </c>
      <c r="J1856" s="18"/>
      <c r="K1856" s="18"/>
      <c r="L1856" s="25"/>
    </row>
    <row r="1857" hidden="1" customHeight="1" spans="1:12">
      <c r="A1857" s="14" t="str">
        <f t="shared" si="36"/>
        <v>0x00000318</v>
      </c>
      <c r="B1857" s="15">
        <f>SUM_HEX(C1856:F1856,B1856,3)</f>
        <v>792</v>
      </c>
      <c r="C1857" s="16" t="s">
        <v>23</v>
      </c>
      <c r="D1857" s="16"/>
      <c r="E1857" s="16"/>
      <c r="F1857" s="16"/>
      <c r="G1857" s="18" t="s">
        <v>15</v>
      </c>
      <c r="H1857" s="18"/>
      <c r="I1857" s="24" t="s">
        <v>415</v>
      </c>
      <c r="J1857" s="18"/>
      <c r="K1857" s="18" t="s">
        <v>416</v>
      </c>
      <c r="L1857" s="25"/>
    </row>
    <row r="1858" hidden="1" customHeight="1" spans="1:12">
      <c r="A1858" s="14" t="str">
        <f t="shared" si="36"/>
        <v>0x0000031C</v>
      </c>
      <c r="B1858" s="15">
        <f>SUM_HEX(C1857:F1857,B1857,3)</f>
        <v>796</v>
      </c>
      <c r="C1858" s="16" t="s">
        <v>23</v>
      </c>
      <c r="D1858" s="16"/>
      <c r="E1858" s="16"/>
      <c r="F1858" s="16"/>
      <c r="G1858" s="46" t="s">
        <v>157</v>
      </c>
      <c r="H1858" s="46" t="s">
        <v>212</v>
      </c>
      <c r="I1858" s="18" t="s">
        <v>417</v>
      </c>
      <c r="J1858" s="18"/>
      <c r="K1858" s="18"/>
      <c r="L1858" s="25"/>
    </row>
    <row r="1859" hidden="1" customHeight="1" spans="1:12">
      <c r="A1859" s="14" t="str">
        <f t="shared" si="36"/>
        <v>0x00000320</v>
      </c>
      <c r="B1859" s="15">
        <f>SUM_HEX(C1858:F1858,B1858,3)</f>
        <v>800</v>
      </c>
      <c r="C1859" s="16" t="s">
        <v>418</v>
      </c>
      <c r="D1859" s="16"/>
      <c r="E1859" s="16"/>
      <c r="F1859" s="16"/>
      <c r="G1859" s="47"/>
      <c r="H1859" s="47"/>
      <c r="I1859" s="18"/>
      <c r="J1859" s="18"/>
      <c r="K1859" s="18"/>
      <c r="L1859" s="25"/>
    </row>
    <row r="1860" hidden="1" customHeight="1" spans="1:12">
      <c r="A1860" s="14" t="str">
        <f t="shared" si="36"/>
        <v>0x00000324</v>
      </c>
      <c r="B1860" s="15">
        <f>SUM_HEX(C1859:F1859,B1859,3)</f>
        <v>804</v>
      </c>
      <c r="C1860" s="16" t="s">
        <v>23</v>
      </c>
      <c r="D1860" s="16" t="s">
        <v>23</v>
      </c>
      <c r="E1860" s="16"/>
      <c r="F1860" s="16"/>
      <c r="G1860" s="47"/>
      <c r="H1860" s="47"/>
      <c r="I1860" s="18"/>
      <c r="J1860" s="18"/>
      <c r="K1860" s="18"/>
      <c r="L1860" s="25"/>
    </row>
    <row r="1861" hidden="1" customHeight="1" spans="1:12">
      <c r="A1861" s="14" t="str">
        <f t="shared" si="36"/>
        <v>0x0000032C</v>
      </c>
      <c r="B1861" s="15">
        <f>SUM_HEX(C1860:F1860,B1860,3)</f>
        <v>812</v>
      </c>
      <c r="C1861" s="16" t="s">
        <v>274</v>
      </c>
      <c r="D1861" s="16"/>
      <c r="E1861" s="16"/>
      <c r="F1861" s="16"/>
      <c r="G1861" s="48"/>
      <c r="H1861" s="48"/>
      <c r="I1861" s="18"/>
      <c r="J1861" s="18"/>
      <c r="K1861" s="18"/>
      <c r="L1861" s="25"/>
    </row>
    <row r="1862" hidden="1" customHeight="1" spans="1:12">
      <c r="A1862" s="14" t="str">
        <f t="shared" si="36"/>
        <v>0x00000330</v>
      </c>
      <c r="B1862" s="15">
        <f>SUM_HEX(C1861:F1861,B1861,3)</f>
        <v>816</v>
      </c>
      <c r="C1862" s="16" t="s">
        <v>23</v>
      </c>
      <c r="D1862" s="16"/>
      <c r="E1862" s="16"/>
      <c r="F1862" s="16"/>
      <c r="G1862" s="46" t="s">
        <v>157</v>
      </c>
      <c r="H1862" s="46" t="s">
        <v>212</v>
      </c>
      <c r="I1862" s="18" t="s">
        <v>419</v>
      </c>
      <c r="J1862" s="18"/>
      <c r="K1862" s="18"/>
      <c r="L1862" s="25"/>
    </row>
    <row r="1863" hidden="1" customHeight="1" spans="1:12">
      <c r="A1863" s="14" t="str">
        <f t="shared" si="36"/>
        <v>0x00000334</v>
      </c>
      <c r="B1863" s="15">
        <f>SUM_HEX(C1862:F1862,B1862,3)</f>
        <v>820</v>
      </c>
      <c r="C1863" s="16" t="s">
        <v>420</v>
      </c>
      <c r="D1863" s="16"/>
      <c r="E1863" s="16"/>
      <c r="F1863" s="16"/>
      <c r="G1863" s="47"/>
      <c r="H1863" s="47"/>
      <c r="I1863" s="18"/>
      <c r="J1863" s="18"/>
      <c r="K1863" s="18"/>
      <c r="L1863" s="25"/>
    </row>
    <row r="1864" hidden="1" customHeight="1" spans="1:12">
      <c r="A1864" s="14" t="str">
        <f t="shared" si="36"/>
        <v>0x00000338</v>
      </c>
      <c r="B1864" s="15">
        <f>SUM_HEX(C1863:F1863,B1863,3)</f>
        <v>824</v>
      </c>
      <c r="C1864" s="16" t="s">
        <v>23</v>
      </c>
      <c r="D1864" s="16" t="s">
        <v>23</v>
      </c>
      <c r="E1864" s="16"/>
      <c r="F1864" s="16"/>
      <c r="G1864" s="47"/>
      <c r="H1864" s="47"/>
      <c r="I1864" s="18"/>
      <c r="J1864" s="18"/>
      <c r="K1864" s="18"/>
      <c r="L1864" s="25"/>
    </row>
    <row r="1865" hidden="1" customHeight="1" spans="1:12">
      <c r="A1865" s="14" t="str">
        <f t="shared" si="36"/>
        <v>0x00000340</v>
      </c>
      <c r="B1865" s="15">
        <f>SUM_HEX(C1864:F1864,B1864,3)</f>
        <v>832</v>
      </c>
      <c r="C1865" s="16" t="s">
        <v>274</v>
      </c>
      <c r="D1865" s="16"/>
      <c r="E1865" s="16"/>
      <c r="F1865" s="16"/>
      <c r="G1865" s="48"/>
      <c r="H1865" s="48"/>
      <c r="I1865" s="18"/>
      <c r="J1865" s="18"/>
      <c r="K1865" s="18"/>
      <c r="L1865" s="25"/>
    </row>
    <row r="1866" hidden="1" customHeight="1" spans="1:12">
      <c r="A1866" s="14" t="str">
        <f t="shared" si="36"/>
        <v>0x00000344</v>
      </c>
      <c r="B1866" s="15">
        <f>SUM_HEX(C1865:F1865,B1865,3)</f>
        <v>836</v>
      </c>
      <c r="C1866" s="16" t="s">
        <v>23</v>
      </c>
      <c r="D1866" s="16"/>
      <c r="E1866" s="16"/>
      <c r="F1866" s="16"/>
      <c r="G1866" s="18" t="s">
        <v>15</v>
      </c>
      <c r="H1866" s="18"/>
      <c r="I1866" s="24" t="s">
        <v>421</v>
      </c>
      <c r="J1866" s="18"/>
      <c r="K1866" s="18" t="s">
        <v>416</v>
      </c>
      <c r="L1866" s="25"/>
    </row>
    <row r="1867" hidden="1" customHeight="1" spans="1:12">
      <c r="A1867" s="14" t="str">
        <f t="shared" si="36"/>
        <v>0x00000348</v>
      </c>
      <c r="B1867" s="15">
        <f>SUM_HEX(C1866:F1866,B1866,3)</f>
        <v>840</v>
      </c>
      <c r="C1867" s="16" t="s">
        <v>23</v>
      </c>
      <c r="D1867" s="16"/>
      <c r="E1867" s="16"/>
      <c r="F1867" s="16"/>
      <c r="G1867" s="46" t="s">
        <v>157</v>
      </c>
      <c r="H1867" s="46" t="s">
        <v>212</v>
      </c>
      <c r="I1867" s="18" t="s">
        <v>422</v>
      </c>
      <c r="J1867" s="18"/>
      <c r="K1867" s="18"/>
      <c r="L1867" s="25"/>
    </row>
    <row r="1868" hidden="1" customHeight="1" spans="1:12">
      <c r="A1868" s="14" t="str">
        <f t="shared" si="36"/>
        <v>0x0000034C</v>
      </c>
      <c r="B1868" s="15">
        <f>SUM_HEX(C1867:F1867,B1867,3)</f>
        <v>844</v>
      </c>
      <c r="C1868" s="16" t="s">
        <v>423</v>
      </c>
      <c r="D1868" s="16"/>
      <c r="E1868" s="16"/>
      <c r="F1868" s="16"/>
      <c r="G1868" s="47"/>
      <c r="H1868" s="47"/>
      <c r="I1868" s="18"/>
      <c r="J1868" s="18"/>
      <c r="K1868" s="18"/>
      <c r="L1868" s="25"/>
    </row>
    <row r="1869" hidden="1" customHeight="1" spans="1:12">
      <c r="A1869" s="14" t="str">
        <f t="shared" si="36"/>
        <v>0x00000350</v>
      </c>
      <c r="B1869" s="15">
        <f>SUM_HEX(C1868:F1868,B1868,3)</f>
        <v>848</v>
      </c>
      <c r="C1869" s="16" t="s">
        <v>23</v>
      </c>
      <c r="D1869" s="16" t="s">
        <v>23</v>
      </c>
      <c r="E1869" s="16"/>
      <c r="F1869" s="16"/>
      <c r="G1869" s="47"/>
      <c r="H1869" s="47"/>
      <c r="I1869" s="18"/>
      <c r="J1869" s="18"/>
      <c r="K1869" s="18"/>
      <c r="L1869" s="25"/>
    </row>
    <row r="1870" hidden="1" customHeight="1" spans="1:12">
      <c r="A1870" s="14" t="str">
        <f t="shared" si="36"/>
        <v>0x00000358</v>
      </c>
      <c r="B1870" s="15">
        <f>SUM_HEX(C1869:F1869,B1869,3)</f>
        <v>856</v>
      </c>
      <c r="C1870" s="16" t="s">
        <v>274</v>
      </c>
      <c r="D1870" s="16"/>
      <c r="E1870" s="16"/>
      <c r="F1870" s="16"/>
      <c r="G1870" s="48"/>
      <c r="H1870" s="48"/>
      <c r="I1870" s="18"/>
      <c r="J1870" s="18"/>
      <c r="K1870" s="18"/>
      <c r="L1870" s="25"/>
    </row>
    <row r="1871" hidden="1" customHeight="1" spans="1:12">
      <c r="A1871" s="14" t="str">
        <f t="shared" si="36"/>
        <v>0x0000035C</v>
      </c>
      <c r="B1871" s="15">
        <f>SUM_HEX(C1870:F1870,B1870,3)</f>
        <v>860</v>
      </c>
      <c r="C1871" s="16" t="s">
        <v>23</v>
      </c>
      <c r="D1871" s="16"/>
      <c r="E1871" s="16"/>
      <c r="F1871" s="16"/>
      <c r="G1871" s="46" t="s">
        <v>157</v>
      </c>
      <c r="H1871" s="46" t="s">
        <v>212</v>
      </c>
      <c r="I1871" s="18" t="s">
        <v>424</v>
      </c>
      <c r="J1871" s="18"/>
      <c r="K1871" s="18"/>
      <c r="L1871" s="25"/>
    </row>
    <row r="1872" hidden="1" customHeight="1" spans="1:12">
      <c r="A1872" s="14" t="str">
        <f t="shared" si="36"/>
        <v>0x00000360</v>
      </c>
      <c r="B1872" s="15">
        <f>SUM_HEX(C1871:F1871,B1871,3)</f>
        <v>864</v>
      </c>
      <c r="C1872" s="16" t="s">
        <v>425</v>
      </c>
      <c r="D1872" s="16"/>
      <c r="E1872" s="16"/>
      <c r="F1872" s="16"/>
      <c r="G1872" s="47"/>
      <c r="H1872" s="47"/>
      <c r="I1872" s="18"/>
      <c r="J1872" s="18"/>
      <c r="K1872" s="18"/>
      <c r="L1872" s="25"/>
    </row>
    <row r="1873" hidden="1" customHeight="1" spans="1:12">
      <c r="A1873" s="14" t="str">
        <f t="shared" si="36"/>
        <v>0x00000364</v>
      </c>
      <c r="B1873" s="15">
        <f>SUM_HEX(C1872:F1872,B1872,3)</f>
        <v>868</v>
      </c>
      <c r="C1873" s="16" t="s">
        <v>23</v>
      </c>
      <c r="D1873" s="16" t="s">
        <v>23</v>
      </c>
      <c r="E1873" s="16"/>
      <c r="F1873" s="16"/>
      <c r="G1873" s="47"/>
      <c r="H1873" s="47"/>
      <c r="I1873" s="18"/>
      <c r="J1873" s="18"/>
      <c r="K1873" s="18"/>
      <c r="L1873" s="25"/>
    </row>
    <row r="1874" hidden="1" customHeight="1" spans="1:12">
      <c r="A1874" s="14" t="str">
        <f t="shared" si="36"/>
        <v>0x0000036C</v>
      </c>
      <c r="B1874" s="15">
        <f>SUM_HEX(C1873:F1873,B1873,3)</f>
        <v>876</v>
      </c>
      <c r="C1874" s="16" t="s">
        <v>274</v>
      </c>
      <c r="D1874" s="16"/>
      <c r="E1874" s="16"/>
      <c r="F1874" s="16"/>
      <c r="G1874" s="48"/>
      <c r="H1874" s="48"/>
      <c r="I1874" s="18"/>
      <c r="J1874" s="18"/>
      <c r="K1874" s="18"/>
      <c r="L1874" s="25"/>
    </row>
    <row r="1875" hidden="1" customHeight="1" spans="1:12">
      <c r="A1875" s="14" t="str">
        <f t="shared" si="36"/>
        <v>0x00000370</v>
      </c>
      <c r="B1875" s="15">
        <f>SUM_HEX(C1874:F1874,B1874,3)</f>
        <v>880</v>
      </c>
      <c r="C1875" s="16" t="s">
        <v>23</v>
      </c>
      <c r="D1875" s="16"/>
      <c r="E1875" s="16"/>
      <c r="F1875" s="16"/>
      <c r="G1875" s="18" t="s">
        <v>15</v>
      </c>
      <c r="H1875" s="18"/>
      <c r="I1875" s="24" t="s">
        <v>426</v>
      </c>
      <c r="J1875" s="18"/>
      <c r="K1875" s="18" t="s">
        <v>416</v>
      </c>
      <c r="L1875" s="25"/>
    </row>
    <row r="1876" hidden="1" customHeight="1" spans="1:12">
      <c r="A1876" s="14" t="str">
        <f t="shared" si="36"/>
        <v>0x00000374</v>
      </c>
      <c r="B1876" s="15">
        <f>SUM_HEX(C1875:F1875,B1875,3)</f>
        <v>884</v>
      </c>
      <c r="C1876" s="16" t="s">
        <v>23</v>
      </c>
      <c r="D1876" s="16"/>
      <c r="E1876" s="16"/>
      <c r="F1876" s="16"/>
      <c r="G1876" s="46" t="s">
        <v>157</v>
      </c>
      <c r="H1876" s="46" t="s">
        <v>212</v>
      </c>
      <c r="I1876" s="18" t="s">
        <v>427</v>
      </c>
      <c r="J1876" s="18"/>
      <c r="K1876" s="18"/>
      <c r="L1876" s="25"/>
    </row>
    <row r="1877" hidden="1" customHeight="1" spans="1:12">
      <c r="A1877" s="14" t="str">
        <f t="shared" si="36"/>
        <v>0x00000378</v>
      </c>
      <c r="B1877" s="15">
        <f>SUM_HEX(C1876:F1876,B1876,3)</f>
        <v>888</v>
      </c>
      <c r="C1877" s="16" t="s">
        <v>428</v>
      </c>
      <c r="D1877" s="16"/>
      <c r="E1877" s="16"/>
      <c r="F1877" s="16"/>
      <c r="G1877" s="47"/>
      <c r="H1877" s="47"/>
      <c r="I1877" s="18"/>
      <c r="J1877" s="18"/>
      <c r="K1877" s="18"/>
      <c r="L1877" s="25"/>
    </row>
    <row r="1878" hidden="1" customHeight="1" spans="1:12">
      <c r="A1878" s="14" t="str">
        <f t="shared" si="36"/>
        <v>0x0000037C</v>
      </c>
      <c r="B1878" s="15">
        <f>SUM_HEX(C1877:F1877,B1877,3)</f>
        <v>892</v>
      </c>
      <c r="C1878" s="16" t="s">
        <v>23</v>
      </c>
      <c r="D1878" s="16" t="s">
        <v>23</v>
      </c>
      <c r="E1878" s="16"/>
      <c r="F1878" s="16"/>
      <c r="G1878" s="47"/>
      <c r="H1878" s="47"/>
      <c r="I1878" s="18"/>
      <c r="J1878" s="18"/>
      <c r="K1878" s="18"/>
      <c r="L1878" s="25"/>
    </row>
    <row r="1879" hidden="1" customHeight="1" spans="1:12">
      <c r="A1879" s="14" t="str">
        <f t="shared" si="36"/>
        <v>0x00000384</v>
      </c>
      <c r="B1879" s="15">
        <f>SUM_HEX(C1878:F1878,B1878,3)</f>
        <v>900</v>
      </c>
      <c r="C1879" s="16" t="s">
        <v>274</v>
      </c>
      <c r="D1879" s="16"/>
      <c r="E1879" s="16"/>
      <c r="F1879" s="16"/>
      <c r="G1879" s="48"/>
      <c r="H1879" s="48"/>
      <c r="I1879" s="18"/>
      <c r="J1879" s="18"/>
      <c r="K1879" s="18"/>
      <c r="L1879" s="25"/>
    </row>
    <row r="1880" hidden="1" customHeight="1" spans="1:12">
      <c r="A1880" s="14" t="str">
        <f t="shared" si="36"/>
        <v>0x00000388</v>
      </c>
      <c r="B1880" s="15">
        <f>SUM_HEX(C1879:F1879,B1879,3)</f>
        <v>904</v>
      </c>
      <c r="C1880" s="16" t="s">
        <v>23</v>
      </c>
      <c r="D1880" s="16"/>
      <c r="E1880" s="16"/>
      <c r="F1880" s="16"/>
      <c r="G1880" s="46" t="s">
        <v>157</v>
      </c>
      <c r="H1880" s="46" t="s">
        <v>212</v>
      </c>
      <c r="I1880" s="18" t="s">
        <v>429</v>
      </c>
      <c r="J1880" s="18"/>
      <c r="K1880" s="18"/>
      <c r="L1880" s="25"/>
    </row>
    <row r="1881" hidden="1" customHeight="1" spans="1:12">
      <c r="A1881" s="14" t="str">
        <f t="shared" si="36"/>
        <v>0x0000038C</v>
      </c>
      <c r="B1881" s="15">
        <f>SUM_HEX(C1880:F1880,B1880,3)</f>
        <v>908</v>
      </c>
      <c r="C1881" s="16" t="s">
        <v>430</v>
      </c>
      <c r="D1881" s="16"/>
      <c r="E1881" s="16"/>
      <c r="F1881" s="16"/>
      <c r="G1881" s="47"/>
      <c r="H1881" s="47"/>
      <c r="I1881" s="18"/>
      <c r="J1881" s="18"/>
      <c r="K1881" s="18"/>
      <c r="L1881" s="25"/>
    </row>
    <row r="1882" hidden="1" customHeight="1" spans="1:12">
      <c r="A1882" s="14" t="str">
        <f t="shared" si="36"/>
        <v>0x00000390</v>
      </c>
      <c r="B1882" s="15">
        <f>SUM_HEX(C1881:F1881,B1881,3)</f>
        <v>912</v>
      </c>
      <c r="C1882" s="16" t="s">
        <v>23</v>
      </c>
      <c r="D1882" s="16" t="s">
        <v>23</v>
      </c>
      <c r="E1882" s="16"/>
      <c r="F1882" s="16"/>
      <c r="G1882" s="47"/>
      <c r="H1882" s="47"/>
      <c r="I1882" s="18"/>
      <c r="J1882" s="18"/>
      <c r="K1882" s="18"/>
      <c r="L1882" s="25"/>
    </row>
    <row r="1883" hidden="1" customHeight="1" spans="1:12">
      <c r="A1883" s="14" t="str">
        <f t="shared" si="36"/>
        <v>0x00000398</v>
      </c>
      <c r="B1883" s="15">
        <f>SUM_HEX(C1882:F1882,B1882,3)</f>
        <v>920</v>
      </c>
      <c r="C1883" s="16" t="s">
        <v>274</v>
      </c>
      <c r="D1883" s="16"/>
      <c r="E1883" s="16"/>
      <c r="F1883" s="16"/>
      <c r="G1883" s="48"/>
      <c r="H1883" s="48"/>
      <c r="I1883" s="18"/>
      <c r="J1883" s="18"/>
      <c r="K1883" s="18"/>
      <c r="L1883" s="25"/>
    </row>
    <row r="1884" hidden="1" customHeight="1" spans="1:12">
      <c r="A1884" s="14" t="str">
        <f t="shared" si="36"/>
        <v>0x0000039C</v>
      </c>
      <c r="B1884" s="15">
        <f>SUM_HEX(C1883:F1883,B1883,3)</f>
        <v>924</v>
      </c>
      <c r="C1884" s="16" t="s">
        <v>23</v>
      </c>
      <c r="D1884" s="16"/>
      <c r="E1884" s="16"/>
      <c r="F1884" s="16"/>
      <c r="G1884" s="18" t="s">
        <v>15</v>
      </c>
      <c r="H1884" s="18"/>
      <c r="I1884" s="24" t="s">
        <v>431</v>
      </c>
      <c r="J1884" s="18"/>
      <c r="K1884" s="18" t="s">
        <v>416</v>
      </c>
      <c r="L1884" s="25"/>
    </row>
    <row r="1885" hidden="1" customHeight="1" spans="1:12">
      <c r="A1885" s="14" t="str">
        <f t="shared" si="36"/>
        <v>0x000003A0</v>
      </c>
      <c r="B1885" s="15">
        <f>SUM_HEX(C1884:F1884,B1884,3)</f>
        <v>928</v>
      </c>
      <c r="C1885" s="16" t="s">
        <v>23</v>
      </c>
      <c r="D1885" s="16"/>
      <c r="E1885" s="16"/>
      <c r="F1885" s="16"/>
      <c r="G1885" s="46" t="s">
        <v>157</v>
      </c>
      <c r="H1885" s="46" t="s">
        <v>212</v>
      </c>
      <c r="I1885" s="18" t="s">
        <v>432</v>
      </c>
      <c r="J1885" s="18"/>
      <c r="K1885" s="18"/>
      <c r="L1885" s="25"/>
    </row>
    <row r="1886" hidden="1" customHeight="1" spans="1:12">
      <c r="A1886" s="14" t="str">
        <f t="shared" si="36"/>
        <v>0x000003A4</v>
      </c>
      <c r="B1886" s="15">
        <f>SUM_HEX(C1885:F1885,B1885,3)</f>
        <v>932</v>
      </c>
      <c r="C1886" s="16" t="s">
        <v>433</v>
      </c>
      <c r="D1886" s="16"/>
      <c r="E1886" s="16"/>
      <c r="F1886" s="16"/>
      <c r="G1886" s="47"/>
      <c r="H1886" s="47"/>
      <c r="I1886" s="18"/>
      <c r="J1886" s="18"/>
      <c r="K1886" s="18"/>
      <c r="L1886" s="25"/>
    </row>
    <row r="1887" hidden="1" customHeight="1" spans="1:12">
      <c r="A1887" s="14" t="str">
        <f t="shared" si="36"/>
        <v>0x000003A8</v>
      </c>
      <c r="B1887" s="15">
        <f>SUM_HEX(C1886:F1886,B1886,3)</f>
        <v>936</v>
      </c>
      <c r="C1887" s="16" t="s">
        <v>23</v>
      </c>
      <c r="D1887" s="16" t="s">
        <v>23</v>
      </c>
      <c r="E1887" s="16"/>
      <c r="F1887" s="16"/>
      <c r="G1887" s="47"/>
      <c r="H1887" s="47"/>
      <c r="I1887" s="18"/>
      <c r="J1887" s="18"/>
      <c r="K1887" s="18"/>
      <c r="L1887" s="25"/>
    </row>
    <row r="1888" hidden="1" customHeight="1" spans="1:12">
      <c r="A1888" s="14" t="str">
        <f t="shared" si="36"/>
        <v>0x000003B0</v>
      </c>
      <c r="B1888" s="15">
        <f>SUM_HEX(C1887:F1887,B1887,3)</f>
        <v>944</v>
      </c>
      <c r="C1888" s="16" t="s">
        <v>274</v>
      </c>
      <c r="D1888" s="16"/>
      <c r="E1888" s="16"/>
      <c r="F1888" s="16"/>
      <c r="G1888" s="48"/>
      <c r="H1888" s="48"/>
      <c r="I1888" s="18"/>
      <c r="J1888" s="18"/>
      <c r="K1888" s="18"/>
      <c r="L1888" s="25"/>
    </row>
    <row r="1889" hidden="1" customHeight="1" spans="1:12">
      <c r="A1889" s="14" t="str">
        <f t="shared" si="36"/>
        <v>0x000003B4</v>
      </c>
      <c r="B1889" s="15">
        <f>SUM_HEX(C1888:F1888,B1888,3)</f>
        <v>948</v>
      </c>
      <c r="C1889" s="16" t="s">
        <v>23</v>
      </c>
      <c r="D1889" s="16"/>
      <c r="E1889" s="16"/>
      <c r="F1889" s="16"/>
      <c r="G1889" s="46" t="s">
        <v>157</v>
      </c>
      <c r="H1889" s="46" t="s">
        <v>212</v>
      </c>
      <c r="I1889" s="18" t="s">
        <v>434</v>
      </c>
      <c r="J1889" s="18"/>
      <c r="K1889" s="18"/>
      <c r="L1889" s="25"/>
    </row>
    <row r="1890" hidden="1" customHeight="1" spans="1:12">
      <c r="A1890" s="14" t="str">
        <f t="shared" si="36"/>
        <v>0x000003B8</v>
      </c>
      <c r="B1890" s="15">
        <f>SUM_HEX(C1889:F1889,B1889,3)</f>
        <v>952</v>
      </c>
      <c r="C1890" s="16" t="s">
        <v>435</v>
      </c>
      <c r="D1890" s="16"/>
      <c r="E1890" s="16"/>
      <c r="F1890" s="16"/>
      <c r="G1890" s="47"/>
      <c r="H1890" s="47"/>
      <c r="I1890" s="18"/>
      <c r="J1890" s="18"/>
      <c r="K1890" s="18"/>
      <c r="L1890" s="25"/>
    </row>
    <row r="1891" hidden="1" customHeight="1" spans="1:12">
      <c r="A1891" s="14" t="str">
        <f t="shared" si="36"/>
        <v>0x000003BC</v>
      </c>
      <c r="B1891" s="15">
        <f>SUM_HEX(C1890:F1890,B1890,3)</f>
        <v>956</v>
      </c>
      <c r="C1891" s="16" t="s">
        <v>23</v>
      </c>
      <c r="D1891" s="16" t="s">
        <v>23</v>
      </c>
      <c r="E1891" s="16"/>
      <c r="F1891" s="16"/>
      <c r="G1891" s="47"/>
      <c r="H1891" s="47"/>
      <c r="I1891" s="18"/>
      <c r="J1891" s="18"/>
      <c r="K1891" s="18"/>
      <c r="L1891" s="25"/>
    </row>
    <row r="1892" hidden="1" customHeight="1" spans="1:12">
      <c r="A1892" s="14" t="str">
        <f t="shared" si="36"/>
        <v>0x000003C4</v>
      </c>
      <c r="B1892" s="15">
        <f>SUM_HEX(C1891:F1891,B1891,3)</f>
        <v>964</v>
      </c>
      <c r="C1892" s="16" t="s">
        <v>274</v>
      </c>
      <c r="D1892" s="16"/>
      <c r="E1892" s="16"/>
      <c r="F1892" s="16"/>
      <c r="G1892" s="48"/>
      <c r="H1892" s="48"/>
      <c r="I1892" s="18"/>
      <c r="J1892" s="18"/>
      <c r="K1892" s="18"/>
      <c r="L1892" s="25"/>
    </row>
    <row r="1893" hidden="1" customHeight="1" spans="1:12">
      <c r="A1893" s="14" t="str">
        <f t="shared" si="36"/>
        <v>0x000003C8</v>
      </c>
      <c r="B1893" s="15">
        <f>SUM_HEX(C1892:F1892,B1892,3)</f>
        <v>968</v>
      </c>
      <c r="C1893" s="16" t="s">
        <v>23</v>
      </c>
      <c r="D1893" s="16"/>
      <c r="E1893" s="16"/>
      <c r="F1893" s="16"/>
      <c r="G1893" s="18" t="s">
        <v>15</v>
      </c>
      <c r="H1893" s="18"/>
      <c r="I1893" s="24" t="s">
        <v>436</v>
      </c>
      <c r="J1893" s="18"/>
      <c r="K1893" s="18" t="s">
        <v>416</v>
      </c>
      <c r="L1893" s="25"/>
    </row>
    <row r="1894" hidden="1" customHeight="1" spans="1:12">
      <c r="A1894" s="14" t="str">
        <f t="shared" si="36"/>
        <v>0x000003CC</v>
      </c>
      <c r="B1894" s="15">
        <f>SUM_HEX(C1893:F1893,B1893,3)</f>
        <v>972</v>
      </c>
      <c r="C1894" s="16" t="s">
        <v>23</v>
      </c>
      <c r="D1894" s="16"/>
      <c r="E1894" s="16"/>
      <c r="F1894" s="16"/>
      <c r="G1894" s="46" t="s">
        <v>157</v>
      </c>
      <c r="H1894" s="46" t="s">
        <v>212</v>
      </c>
      <c r="I1894" s="18" t="s">
        <v>437</v>
      </c>
      <c r="J1894" s="18"/>
      <c r="K1894" s="18"/>
      <c r="L1894" s="25"/>
    </row>
    <row r="1895" hidden="1" customHeight="1" spans="1:12">
      <c r="A1895" s="14" t="str">
        <f t="shared" si="36"/>
        <v>0x000003D0</v>
      </c>
      <c r="B1895" s="15">
        <f>SUM_HEX(C1894:F1894,B1894,3)</f>
        <v>976</v>
      </c>
      <c r="C1895" s="16" t="s">
        <v>438</v>
      </c>
      <c r="D1895" s="16"/>
      <c r="E1895" s="16"/>
      <c r="F1895" s="16"/>
      <c r="G1895" s="47"/>
      <c r="H1895" s="47"/>
      <c r="I1895" s="18"/>
      <c r="J1895" s="18"/>
      <c r="K1895" s="18"/>
      <c r="L1895" s="25"/>
    </row>
    <row r="1896" hidden="1" customHeight="1" spans="1:12">
      <c r="A1896" s="14" t="str">
        <f t="shared" ref="A1896:A1946" si="37">"0x"&amp;DEC2HEX(B1896,8)</f>
        <v>0x000003D4</v>
      </c>
      <c r="B1896" s="15">
        <f>SUM_HEX(C1895:F1895,B1895,3)</f>
        <v>980</v>
      </c>
      <c r="C1896" s="16" t="s">
        <v>23</v>
      </c>
      <c r="D1896" s="16" t="s">
        <v>23</v>
      </c>
      <c r="E1896" s="16"/>
      <c r="F1896" s="16"/>
      <c r="G1896" s="47"/>
      <c r="H1896" s="47"/>
      <c r="I1896" s="18"/>
      <c r="J1896" s="18"/>
      <c r="K1896" s="18"/>
      <c r="L1896" s="25"/>
    </row>
    <row r="1897" hidden="1" customHeight="1" spans="1:12">
      <c r="A1897" s="14" t="str">
        <f t="shared" si="37"/>
        <v>0x000003DC</v>
      </c>
      <c r="B1897" s="15">
        <f>SUM_HEX(C1896:F1896,B1896,3)</f>
        <v>988</v>
      </c>
      <c r="C1897" s="16" t="s">
        <v>274</v>
      </c>
      <c r="D1897" s="16"/>
      <c r="E1897" s="16"/>
      <c r="F1897" s="16"/>
      <c r="G1897" s="48"/>
      <c r="H1897" s="48"/>
      <c r="I1897" s="18"/>
      <c r="J1897" s="18"/>
      <c r="K1897" s="18"/>
      <c r="L1897" s="25"/>
    </row>
    <row r="1898" hidden="1" customHeight="1" spans="1:12">
      <c r="A1898" s="14" t="str">
        <f t="shared" si="37"/>
        <v>0x000003E0</v>
      </c>
      <c r="B1898" s="15">
        <f>SUM_HEX(C1897:F1897,B1897,3)</f>
        <v>992</v>
      </c>
      <c r="C1898" s="16" t="s">
        <v>23</v>
      </c>
      <c r="D1898" s="16"/>
      <c r="E1898" s="16"/>
      <c r="F1898" s="16"/>
      <c r="G1898" s="46" t="s">
        <v>157</v>
      </c>
      <c r="H1898" s="46" t="s">
        <v>212</v>
      </c>
      <c r="I1898" s="18" t="s">
        <v>439</v>
      </c>
      <c r="J1898" s="18"/>
      <c r="K1898" s="18"/>
      <c r="L1898" s="25"/>
    </row>
    <row r="1899" hidden="1" customHeight="1" spans="1:12">
      <c r="A1899" s="14" t="str">
        <f t="shared" si="37"/>
        <v>0x000003E4</v>
      </c>
      <c r="B1899" s="15">
        <f>SUM_HEX(C1898:F1898,B1898,3)</f>
        <v>996</v>
      </c>
      <c r="C1899" s="16" t="s">
        <v>440</v>
      </c>
      <c r="D1899" s="16"/>
      <c r="E1899" s="16"/>
      <c r="F1899" s="16"/>
      <c r="G1899" s="47"/>
      <c r="H1899" s="47"/>
      <c r="I1899" s="18"/>
      <c r="J1899" s="18"/>
      <c r="K1899" s="18"/>
      <c r="L1899" s="25"/>
    </row>
    <row r="1900" hidden="1" customHeight="1" spans="1:12">
      <c r="A1900" s="14" t="str">
        <f t="shared" si="37"/>
        <v>0x000003E8</v>
      </c>
      <c r="B1900" s="15">
        <f>SUM_HEX(C1899:F1899,B1899,3)</f>
        <v>1000</v>
      </c>
      <c r="C1900" s="16" t="s">
        <v>23</v>
      </c>
      <c r="D1900" s="16" t="s">
        <v>23</v>
      </c>
      <c r="E1900" s="16"/>
      <c r="F1900" s="16"/>
      <c r="G1900" s="47"/>
      <c r="H1900" s="47"/>
      <c r="I1900" s="18"/>
      <c r="J1900" s="18"/>
      <c r="K1900" s="18"/>
      <c r="L1900" s="25"/>
    </row>
    <row r="1901" hidden="1" customHeight="1" spans="1:12">
      <c r="A1901" s="14" t="str">
        <f t="shared" si="37"/>
        <v>0x000003F0</v>
      </c>
      <c r="B1901" s="15">
        <f>SUM_HEX(C1900:F1900,B1900,3)</f>
        <v>1008</v>
      </c>
      <c r="C1901" s="16" t="s">
        <v>274</v>
      </c>
      <c r="D1901" s="16"/>
      <c r="E1901" s="16"/>
      <c r="F1901" s="16"/>
      <c r="G1901" s="48"/>
      <c r="H1901" s="48"/>
      <c r="I1901" s="18"/>
      <c r="J1901" s="18"/>
      <c r="K1901" s="18"/>
      <c r="L1901" s="25"/>
    </row>
    <row r="1902" hidden="1" customHeight="1" spans="1:12">
      <c r="A1902" s="14" t="str">
        <f t="shared" si="37"/>
        <v>0x000003F4</v>
      </c>
      <c r="B1902" s="15">
        <f>SUM_HEX(C1901:F1901,B1901,3)</f>
        <v>1012</v>
      </c>
      <c r="C1902" s="16" t="s">
        <v>23</v>
      </c>
      <c r="D1902" s="16"/>
      <c r="E1902" s="16"/>
      <c r="F1902" s="16"/>
      <c r="G1902" s="18" t="s">
        <v>15</v>
      </c>
      <c r="H1902" s="18"/>
      <c r="I1902" s="24"/>
      <c r="J1902" s="18"/>
      <c r="K1902" s="18"/>
      <c r="L1902" s="25"/>
    </row>
    <row r="1903" hidden="1" customHeight="1" spans="1:12">
      <c r="A1903" s="14" t="str">
        <f t="shared" si="37"/>
        <v>0x000003F8</v>
      </c>
      <c r="B1903" s="15">
        <f>SUM_HEX(C1902:F1902,B1902,3)</f>
        <v>1016</v>
      </c>
      <c r="C1903" s="16" t="s">
        <v>23</v>
      </c>
      <c r="D1903" s="16"/>
      <c r="E1903" s="16"/>
      <c r="F1903" s="16"/>
      <c r="G1903" s="46" t="s">
        <v>157</v>
      </c>
      <c r="H1903" s="46"/>
      <c r="I1903" s="18"/>
      <c r="J1903" s="18"/>
      <c r="K1903" s="18"/>
      <c r="L1903" s="25"/>
    </row>
    <row r="1904" hidden="1" customHeight="1" spans="1:12">
      <c r="A1904" s="14" t="str">
        <f t="shared" si="37"/>
        <v>0x000003FC</v>
      </c>
      <c r="B1904" s="15">
        <f>SUM_HEX(C1903:F1903,B1903,3)</f>
        <v>1020</v>
      </c>
      <c r="C1904" s="16" t="s">
        <v>441</v>
      </c>
      <c r="D1904" s="16"/>
      <c r="E1904" s="16"/>
      <c r="F1904" s="16"/>
      <c r="G1904" s="47"/>
      <c r="H1904" s="47"/>
      <c r="I1904" s="18"/>
      <c r="J1904" s="18"/>
      <c r="K1904" s="18"/>
      <c r="L1904" s="25"/>
    </row>
    <row r="1905" hidden="1" customHeight="1" spans="1:12">
      <c r="A1905" s="14" t="str">
        <f t="shared" si="37"/>
        <v>0x00000400</v>
      </c>
      <c r="B1905" s="15">
        <f>SUM_HEX(C1904:F1904,B1904,3)</f>
        <v>1024</v>
      </c>
      <c r="C1905" s="16" t="s">
        <v>23</v>
      </c>
      <c r="D1905" s="16" t="s">
        <v>23</v>
      </c>
      <c r="E1905" s="16"/>
      <c r="F1905" s="16"/>
      <c r="G1905" s="47"/>
      <c r="H1905" s="47"/>
      <c r="I1905" s="18"/>
      <c r="J1905" s="18"/>
      <c r="K1905" s="18"/>
      <c r="L1905" s="25"/>
    </row>
    <row r="1906" hidden="1" customHeight="1" spans="1:12">
      <c r="A1906" s="14" t="str">
        <f t="shared" si="37"/>
        <v>0x00000408</v>
      </c>
      <c r="B1906" s="15">
        <f>SUM_HEX(C1905:F1905,B1905,3)</f>
        <v>1032</v>
      </c>
      <c r="C1906" s="16" t="s">
        <v>274</v>
      </c>
      <c r="D1906" s="16"/>
      <c r="E1906" s="16"/>
      <c r="F1906" s="16"/>
      <c r="G1906" s="48"/>
      <c r="H1906" s="48"/>
      <c r="I1906" s="18"/>
      <c r="J1906" s="18"/>
      <c r="K1906" s="18"/>
      <c r="L1906" s="25"/>
    </row>
    <row r="1907" hidden="1" customHeight="1" spans="1:12">
      <c r="A1907" s="14" t="str">
        <f t="shared" si="37"/>
        <v>0x0000040C</v>
      </c>
      <c r="B1907" s="15">
        <f>SUM_HEX(C1906:F1906,B1906,3)</f>
        <v>1036</v>
      </c>
      <c r="C1907" s="16" t="s">
        <v>23</v>
      </c>
      <c r="D1907" s="16"/>
      <c r="E1907" s="16"/>
      <c r="F1907" s="16"/>
      <c r="G1907" s="46" t="s">
        <v>157</v>
      </c>
      <c r="H1907" s="46"/>
      <c r="I1907" s="18"/>
      <c r="J1907" s="18"/>
      <c r="K1907" s="18"/>
      <c r="L1907" s="25"/>
    </row>
    <row r="1908" hidden="1" customHeight="1" spans="1:12">
      <c r="A1908" s="14" t="str">
        <f t="shared" si="37"/>
        <v>0x00000410</v>
      </c>
      <c r="B1908" s="15">
        <f>SUM_HEX(C1907:F1907,B1907,3)</f>
        <v>1040</v>
      </c>
      <c r="C1908" s="16" t="s">
        <v>442</v>
      </c>
      <c r="D1908" s="16"/>
      <c r="E1908" s="16"/>
      <c r="F1908" s="16"/>
      <c r="G1908" s="47"/>
      <c r="H1908" s="47"/>
      <c r="I1908" s="18"/>
      <c r="J1908" s="18"/>
      <c r="K1908" s="18"/>
      <c r="L1908" s="25"/>
    </row>
    <row r="1909" hidden="1" customHeight="1" spans="1:12">
      <c r="A1909" s="14" t="str">
        <f t="shared" si="37"/>
        <v>0x00000414</v>
      </c>
      <c r="B1909" s="15">
        <f>SUM_HEX(C1908:F1908,B1908,3)</f>
        <v>1044</v>
      </c>
      <c r="C1909" s="16" t="s">
        <v>23</v>
      </c>
      <c r="D1909" s="16" t="s">
        <v>23</v>
      </c>
      <c r="E1909" s="16"/>
      <c r="F1909" s="16"/>
      <c r="G1909" s="47"/>
      <c r="H1909" s="47"/>
      <c r="I1909" s="18"/>
      <c r="J1909" s="18"/>
      <c r="K1909" s="18"/>
      <c r="L1909" s="25"/>
    </row>
    <row r="1910" hidden="1" customHeight="1" spans="1:12">
      <c r="A1910" s="14" t="str">
        <f t="shared" si="37"/>
        <v>0x0000041C</v>
      </c>
      <c r="B1910" s="15">
        <f>SUM_HEX(C1909:F1909,B1909,3)</f>
        <v>1052</v>
      </c>
      <c r="C1910" s="16" t="s">
        <v>274</v>
      </c>
      <c r="D1910" s="16"/>
      <c r="E1910" s="16"/>
      <c r="F1910" s="16"/>
      <c r="G1910" s="48"/>
      <c r="H1910" s="48"/>
      <c r="I1910" s="18"/>
      <c r="J1910" s="18"/>
      <c r="K1910" s="18"/>
      <c r="L1910" s="25"/>
    </row>
    <row r="1911" hidden="1" customHeight="1" spans="1:12">
      <c r="A1911" s="14" t="str">
        <f t="shared" si="37"/>
        <v>0x00000420</v>
      </c>
      <c r="B1911" s="15">
        <f>SUM_HEX(C1910:F1910,B1910,3)</f>
        <v>1056</v>
      </c>
      <c r="C1911" s="16" t="s">
        <v>23</v>
      </c>
      <c r="D1911" s="16"/>
      <c r="E1911" s="16"/>
      <c r="F1911" s="16"/>
      <c r="G1911" s="18" t="s">
        <v>15</v>
      </c>
      <c r="H1911" s="18"/>
      <c r="I1911" s="24" t="s">
        <v>443</v>
      </c>
      <c r="J1911" s="18"/>
      <c r="K1911" s="18" t="s">
        <v>416</v>
      </c>
      <c r="L1911" s="25"/>
    </row>
    <row r="1912" hidden="1" customHeight="1" spans="1:12">
      <c r="A1912" s="14" t="str">
        <f t="shared" si="37"/>
        <v>0x00000424</v>
      </c>
      <c r="B1912" s="15">
        <f>SUM_HEX(C1911:F1911,B1911,3)</f>
        <v>1060</v>
      </c>
      <c r="C1912" s="16" t="s">
        <v>23</v>
      </c>
      <c r="D1912" s="16"/>
      <c r="E1912" s="16"/>
      <c r="F1912" s="16"/>
      <c r="G1912" s="46" t="s">
        <v>157</v>
      </c>
      <c r="H1912" s="46" t="s">
        <v>212</v>
      </c>
      <c r="I1912" s="18" t="s">
        <v>444</v>
      </c>
      <c r="J1912" s="18"/>
      <c r="K1912" s="18"/>
      <c r="L1912" s="25"/>
    </row>
    <row r="1913" hidden="1" customHeight="1" spans="1:12">
      <c r="A1913" s="14" t="str">
        <f t="shared" si="37"/>
        <v>0x00000428</v>
      </c>
      <c r="B1913" s="15">
        <f>SUM_HEX(C1912:F1912,B1912,3)</f>
        <v>1064</v>
      </c>
      <c r="C1913" s="16" t="s">
        <v>445</v>
      </c>
      <c r="D1913" s="16"/>
      <c r="E1913" s="16"/>
      <c r="F1913" s="16"/>
      <c r="G1913" s="47"/>
      <c r="H1913" s="47"/>
      <c r="I1913" s="18"/>
      <c r="J1913" s="18"/>
      <c r="K1913" s="18"/>
      <c r="L1913" s="25"/>
    </row>
    <row r="1914" hidden="1" customHeight="1" spans="1:12">
      <c r="A1914" s="14" t="str">
        <f t="shared" si="37"/>
        <v>0x0000042C</v>
      </c>
      <c r="B1914" s="15">
        <f>SUM_HEX(C1913:F1913,B1913,3)</f>
        <v>1068</v>
      </c>
      <c r="C1914" s="16" t="s">
        <v>23</v>
      </c>
      <c r="D1914" s="16" t="s">
        <v>23</v>
      </c>
      <c r="E1914" s="16"/>
      <c r="F1914" s="16"/>
      <c r="G1914" s="47"/>
      <c r="H1914" s="47"/>
      <c r="I1914" s="18"/>
      <c r="J1914" s="18"/>
      <c r="K1914" s="18"/>
      <c r="L1914" s="25"/>
    </row>
    <row r="1915" hidden="1" customHeight="1" spans="1:12">
      <c r="A1915" s="14" t="str">
        <f t="shared" si="37"/>
        <v>0x00000434</v>
      </c>
      <c r="B1915" s="15">
        <f>SUM_HEX(C1914:F1914,B1914,3)</f>
        <v>1076</v>
      </c>
      <c r="C1915" s="16" t="s">
        <v>274</v>
      </c>
      <c r="D1915" s="16"/>
      <c r="E1915" s="16"/>
      <c r="F1915" s="16"/>
      <c r="G1915" s="48"/>
      <c r="H1915" s="48"/>
      <c r="I1915" s="18"/>
      <c r="J1915" s="18"/>
      <c r="K1915" s="18"/>
      <c r="L1915" s="25"/>
    </row>
    <row r="1916" hidden="1" customHeight="1" spans="1:12">
      <c r="A1916" s="14" t="str">
        <f t="shared" si="37"/>
        <v>0x00000438</v>
      </c>
      <c r="B1916" s="15">
        <f>SUM_HEX(C1915:F1915,B1915,3)</f>
        <v>1080</v>
      </c>
      <c r="C1916" s="16" t="s">
        <v>23</v>
      </c>
      <c r="D1916" s="16"/>
      <c r="E1916" s="16"/>
      <c r="F1916" s="16"/>
      <c r="G1916" s="46" t="s">
        <v>157</v>
      </c>
      <c r="H1916" s="46" t="s">
        <v>212</v>
      </c>
      <c r="I1916" s="18" t="s">
        <v>446</v>
      </c>
      <c r="J1916" s="18"/>
      <c r="K1916" s="18"/>
      <c r="L1916" s="25"/>
    </row>
    <row r="1917" hidden="1" customHeight="1" spans="1:12">
      <c r="A1917" s="14" t="str">
        <f t="shared" si="37"/>
        <v>0x0000043C</v>
      </c>
      <c r="B1917" s="15">
        <f>SUM_HEX(C1916:F1916,B1916,3)</f>
        <v>1084</v>
      </c>
      <c r="C1917" s="16" t="s">
        <v>447</v>
      </c>
      <c r="D1917" s="16"/>
      <c r="E1917" s="16"/>
      <c r="F1917" s="16"/>
      <c r="G1917" s="47"/>
      <c r="H1917" s="47"/>
      <c r="I1917" s="18"/>
      <c r="J1917" s="18"/>
      <c r="K1917" s="18"/>
      <c r="L1917" s="25"/>
    </row>
    <row r="1918" hidden="1" customHeight="1" spans="1:12">
      <c r="A1918" s="14" t="str">
        <f t="shared" si="37"/>
        <v>0x00000440</v>
      </c>
      <c r="B1918" s="15">
        <f>SUM_HEX(C1917:F1917,B1917,3)</f>
        <v>1088</v>
      </c>
      <c r="C1918" s="16" t="s">
        <v>23</v>
      </c>
      <c r="D1918" s="16" t="s">
        <v>23</v>
      </c>
      <c r="E1918" s="16"/>
      <c r="F1918" s="16"/>
      <c r="G1918" s="47"/>
      <c r="H1918" s="47"/>
      <c r="I1918" s="18"/>
      <c r="J1918" s="18"/>
      <c r="K1918" s="18"/>
      <c r="L1918" s="25"/>
    </row>
    <row r="1919" hidden="1" customHeight="1" spans="1:12">
      <c r="A1919" s="14" t="str">
        <f t="shared" si="37"/>
        <v>0x00000448</v>
      </c>
      <c r="B1919" s="15">
        <f>SUM_HEX(C1918:F1918,B1918,3)</f>
        <v>1096</v>
      </c>
      <c r="C1919" s="16" t="s">
        <v>274</v>
      </c>
      <c r="D1919" s="16"/>
      <c r="E1919" s="16"/>
      <c r="F1919" s="16"/>
      <c r="G1919" s="48"/>
      <c r="H1919" s="48"/>
      <c r="I1919" s="18"/>
      <c r="J1919" s="18"/>
      <c r="K1919" s="18"/>
      <c r="L1919" s="25"/>
    </row>
    <row r="1920" hidden="1" customHeight="1" spans="1:12">
      <c r="A1920" s="14" t="str">
        <f t="shared" si="37"/>
        <v>0x0000044C</v>
      </c>
      <c r="B1920" s="15">
        <f>SUM_HEX(C1919:F1919,B1919,3)</f>
        <v>1100</v>
      </c>
      <c r="C1920" s="16" t="s">
        <v>23</v>
      </c>
      <c r="D1920" s="16"/>
      <c r="E1920" s="16"/>
      <c r="F1920" s="16"/>
      <c r="G1920" s="18" t="s">
        <v>15</v>
      </c>
      <c r="H1920" s="18"/>
      <c r="I1920" s="24" t="s">
        <v>448</v>
      </c>
      <c r="J1920" s="18"/>
      <c r="K1920" s="18" t="s">
        <v>416</v>
      </c>
      <c r="L1920" s="25"/>
    </row>
    <row r="1921" hidden="1" customHeight="1" spans="1:12">
      <c r="A1921" s="14" t="str">
        <f t="shared" si="37"/>
        <v>0x00000450</v>
      </c>
      <c r="B1921" s="15">
        <f>SUM_HEX(C1920:F1920,B1920,3)</f>
        <v>1104</v>
      </c>
      <c r="C1921" s="16" t="s">
        <v>23</v>
      </c>
      <c r="D1921" s="16"/>
      <c r="E1921" s="16"/>
      <c r="F1921" s="16"/>
      <c r="G1921" s="46" t="s">
        <v>157</v>
      </c>
      <c r="H1921" s="46" t="s">
        <v>212</v>
      </c>
      <c r="I1921" s="18" t="s">
        <v>449</v>
      </c>
      <c r="J1921" s="18"/>
      <c r="K1921" s="18"/>
      <c r="L1921" s="25"/>
    </row>
    <row r="1922" hidden="1" customHeight="1" spans="1:12">
      <c r="A1922" s="14" t="str">
        <f t="shared" si="37"/>
        <v>0x00000454</v>
      </c>
      <c r="B1922" s="15">
        <f>SUM_HEX(C1921:F1921,B1921,3)</f>
        <v>1108</v>
      </c>
      <c r="C1922" s="16" t="s">
        <v>450</v>
      </c>
      <c r="D1922" s="16"/>
      <c r="E1922" s="16"/>
      <c r="F1922" s="16"/>
      <c r="G1922" s="47"/>
      <c r="H1922" s="47"/>
      <c r="I1922" s="18"/>
      <c r="J1922" s="18"/>
      <c r="K1922" s="18"/>
      <c r="L1922" s="25"/>
    </row>
    <row r="1923" hidden="1" customHeight="1" spans="1:12">
      <c r="A1923" s="14" t="str">
        <f t="shared" si="37"/>
        <v>0x00000458</v>
      </c>
      <c r="B1923" s="15">
        <f>SUM_HEX(C1922:F1922,B1922,3)</f>
        <v>1112</v>
      </c>
      <c r="C1923" s="16" t="s">
        <v>23</v>
      </c>
      <c r="D1923" s="16" t="s">
        <v>23</v>
      </c>
      <c r="E1923" s="16"/>
      <c r="F1923" s="16"/>
      <c r="G1923" s="47"/>
      <c r="H1923" s="47"/>
      <c r="I1923" s="18"/>
      <c r="J1923" s="18"/>
      <c r="K1923" s="18"/>
      <c r="L1923" s="25"/>
    </row>
    <row r="1924" hidden="1" customHeight="1" spans="1:12">
      <c r="A1924" s="14" t="str">
        <f t="shared" si="37"/>
        <v>0x00000460</v>
      </c>
      <c r="B1924" s="15">
        <f>SUM_HEX(C1923:F1923,B1923,3)</f>
        <v>1120</v>
      </c>
      <c r="C1924" s="16" t="s">
        <v>274</v>
      </c>
      <c r="D1924" s="16"/>
      <c r="E1924" s="16"/>
      <c r="F1924" s="16"/>
      <c r="G1924" s="48"/>
      <c r="H1924" s="48"/>
      <c r="I1924" s="18"/>
      <c r="J1924" s="18"/>
      <c r="K1924" s="18"/>
      <c r="L1924" s="25"/>
    </row>
    <row r="1925" hidden="1" customHeight="1" spans="1:12">
      <c r="A1925" s="14" t="str">
        <f t="shared" si="37"/>
        <v>0x00000464</v>
      </c>
      <c r="B1925" s="15">
        <f>SUM_HEX(C1924:F1924,B1924,3)</f>
        <v>1124</v>
      </c>
      <c r="C1925" s="16" t="s">
        <v>23</v>
      </c>
      <c r="D1925" s="16"/>
      <c r="E1925" s="16"/>
      <c r="F1925" s="16"/>
      <c r="G1925" s="46" t="s">
        <v>157</v>
      </c>
      <c r="H1925" s="46" t="s">
        <v>212</v>
      </c>
      <c r="I1925" s="18" t="s">
        <v>451</v>
      </c>
      <c r="J1925" s="18"/>
      <c r="K1925" s="18"/>
      <c r="L1925" s="25"/>
    </row>
    <row r="1926" hidden="1" customHeight="1" spans="1:12">
      <c r="A1926" s="14" t="str">
        <f t="shared" si="37"/>
        <v>0x00000468</v>
      </c>
      <c r="B1926" s="15">
        <f>SUM_HEX(C1925:F1925,B1925,3)</f>
        <v>1128</v>
      </c>
      <c r="C1926" s="16" t="s">
        <v>452</v>
      </c>
      <c r="D1926" s="16"/>
      <c r="E1926" s="16"/>
      <c r="F1926" s="16"/>
      <c r="G1926" s="47"/>
      <c r="H1926" s="47"/>
      <c r="I1926" s="18"/>
      <c r="J1926" s="18"/>
      <c r="K1926" s="18"/>
      <c r="L1926" s="25"/>
    </row>
    <row r="1927" hidden="1" customHeight="1" spans="1:12">
      <c r="A1927" s="14" t="str">
        <f t="shared" si="37"/>
        <v>0x0000046C</v>
      </c>
      <c r="B1927" s="15">
        <f>SUM_HEX(C1926:F1926,B1926,3)</f>
        <v>1132</v>
      </c>
      <c r="C1927" s="16" t="s">
        <v>23</v>
      </c>
      <c r="D1927" s="16" t="s">
        <v>23</v>
      </c>
      <c r="E1927" s="16"/>
      <c r="F1927" s="16"/>
      <c r="G1927" s="47"/>
      <c r="H1927" s="47"/>
      <c r="I1927" s="18"/>
      <c r="J1927" s="18"/>
      <c r="K1927" s="18"/>
      <c r="L1927" s="25"/>
    </row>
    <row r="1928" hidden="1" customHeight="1" spans="1:12">
      <c r="A1928" s="14" t="str">
        <f t="shared" si="37"/>
        <v>0x00000474</v>
      </c>
      <c r="B1928" s="15">
        <f>SUM_HEX(C1927:F1927,B1927,3)</f>
        <v>1140</v>
      </c>
      <c r="C1928" s="16" t="s">
        <v>274</v>
      </c>
      <c r="D1928" s="16"/>
      <c r="E1928" s="16"/>
      <c r="F1928" s="16"/>
      <c r="G1928" s="48"/>
      <c r="H1928" s="48"/>
      <c r="I1928" s="18"/>
      <c r="J1928" s="18"/>
      <c r="K1928" s="18"/>
      <c r="L1928" s="25"/>
    </row>
    <row r="1929" hidden="1" customHeight="1" spans="1:12">
      <c r="A1929" s="14" t="str">
        <f t="shared" si="37"/>
        <v>0x00000478</v>
      </c>
      <c r="B1929" s="15">
        <f>SUM_HEX(C1928:F1928,B1928,3)</f>
        <v>1144</v>
      </c>
      <c r="C1929" s="16" t="s">
        <v>23</v>
      </c>
      <c r="D1929" s="16"/>
      <c r="E1929" s="16"/>
      <c r="F1929" s="16"/>
      <c r="G1929" s="18" t="s">
        <v>15</v>
      </c>
      <c r="H1929" s="18"/>
      <c r="I1929" s="24" t="s">
        <v>453</v>
      </c>
      <c r="J1929" s="18"/>
      <c r="K1929" s="18" t="s">
        <v>416</v>
      </c>
      <c r="L1929" s="25"/>
    </row>
    <row r="1930" hidden="1" customHeight="1" spans="1:12">
      <c r="A1930" s="14" t="str">
        <f t="shared" si="37"/>
        <v>0x0000047C</v>
      </c>
      <c r="B1930" s="15">
        <f>SUM_HEX(C1929:F1929,B1929,3)</f>
        <v>1148</v>
      </c>
      <c r="C1930" s="16" t="s">
        <v>23</v>
      </c>
      <c r="D1930" s="16"/>
      <c r="E1930" s="16"/>
      <c r="F1930" s="16"/>
      <c r="G1930" s="46" t="s">
        <v>157</v>
      </c>
      <c r="H1930" s="46" t="s">
        <v>212</v>
      </c>
      <c r="I1930" s="18" t="s">
        <v>454</v>
      </c>
      <c r="J1930" s="18"/>
      <c r="K1930" s="18"/>
      <c r="L1930" s="25"/>
    </row>
    <row r="1931" hidden="1" customHeight="1" spans="1:12">
      <c r="A1931" s="14" t="str">
        <f t="shared" si="37"/>
        <v>0x00000480</v>
      </c>
      <c r="B1931" s="15">
        <f>SUM_HEX(C1930:F1930,B1930,3)</f>
        <v>1152</v>
      </c>
      <c r="C1931" s="16" t="s">
        <v>455</v>
      </c>
      <c r="D1931" s="16"/>
      <c r="E1931" s="16"/>
      <c r="F1931" s="16"/>
      <c r="G1931" s="47"/>
      <c r="H1931" s="47"/>
      <c r="I1931" s="18"/>
      <c r="J1931" s="18"/>
      <c r="K1931" s="18"/>
      <c r="L1931" s="25"/>
    </row>
    <row r="1932" hidden="1" customHeight="1" spans="1:12">
      <c r="A1932" s="14" t="str">
        <f t="shared" si="37"/>
        <v>0x00000484</v>
      </c>
      <c r="B1932" s="15">
        <f>SUM_HEX(C1931:F1931,B1931,3)</f>
        <v>1156</v>
      </c>
      <c r="C1932" s="16" t="s">
        <v>23</v>
      </c>
      <c r="D1932" s="16" t="s">
        <v>23</v>
      </c>
      <c r="E1932" s="16"/>
      <c r="F1932" s="16"/>
      <c r="G1932" s="47"/>
      <c r="H1932" s="47"/>
      <c r="I1932" s="18"/>
      <c r="J1932" s="18"/>
      <c r="K1932" s="18"/>
      <c r="L1932" s="25"/>
    </row>
    <row r="1933" hidden="1" customHeight="1" spans="1:12">
      <c r="A1933" s="14" t="str">
        <f t="shared" si="37"/>
        <v>0x0000048C</v>
      </c>
      <c r="B1933" s="15">
        <f>SUM_HEX(C1932:F1932,B1932,3)</f>
        <v>1164</v>
      </c>
      <c r="C1933" s="16" t="s">
        <v>274</v>
      </c>
      <c r="D1933" s="16"/>
      <c r="E1933" s="16"/>
      <c r="F1933" s="16"/>
      <c r="G1933" s="48"/>
      <c r="H1933" s="48"/>
      <c r="I1933" s="18"/>
      <c r="J1933" s="18"/>
      <c r="K1933" s="18"/>
      <c r="L1933" s="25"/>
    </row>
    <row r="1934" hidden="1" customHeight="1" spans="1:12">
      <c r="A1934" s="14" t="str">
        <f t="shared" si="37"/>
        <v>0x00000490</v>
      </c>
      <c r="B1934" s="15">
        <f>SUM_HEX(C1933:F1933,B1933,3)</f>
        <v>1168</v>
      </c>
      <c r="C1934" s="16" t="s">
        <v>23</v>
      </c>
      <c r="D1934" s="16"/>
      <c r="E1934" s="16"/>
      <c r="F1934" s="16"/>
      <c r="G1934" s="46" t="s">
        <v>157</v>
      </c>
      <c r="H1934" s="46" t="s">
        <v>212</v>
      </c>
      <c r="I1934" s="18" t="s">
        <v>456</v>
      </c>
      <c r="J1934" s="18"/>
      <c r="K1934" s="18"/>
      <c r="L1934" s="25"/>
    </row>
    <row r="1935" hidden="1" customHeight="1" spans="1:12">
      <c r="A1935" s="14" t="str">
        <f t="shared" si="37"/>
        <v>0x00000494</v>
      </c>
      <c r="B1935" s="15">
        <f>SUM_HEX(C1934:F1934,B1934,3)</f>
        <v>1172</v>
      </c>
      <c r="C1935" s="16" t="s">
        <v>457</v>
      </c>
      <c r="D1935" s="16"/>
      <c r="E1935" s="16"/>
      <c r="F1935" s="16"/>
      <c r="G1935" s="47"/>
      <c r="H1935" s="47"/>
      <c r="I1935" s="18"/>
      <c r="J1935" s="18"/>
      <c r="K1935" s="18"/>
      <c r="L1935" s="25"/>
    </row>
    <row r="1936" hidden="1" customHeight="1" spans="1:12">
      <c r="A1936" s="14" t="str">
        <f t="shared" si="37"/>
        <v>0x00000498</v>
      </c>
      <c r="B1936" s="15">
        <f>SUM_HEX(C1935:F1935,B1935,3)</f>
        <v>1176</v>
      </c>
      <c r="C1936" s="16" t="s">
        <v>23</v>
      </c>
      <c r="D1936" s="16" t="s">
        <v>23</v>
      </c>
      <c r="E1936" s="16"/>
      <c r="F1936" s="16"/>
      <c r="G1936" s="47"/>
      <c r="H1936" s="47"/>
      <c r="I1936" s="18"/>
      <c r="J1936" s="18"/>
      <c r="K1936" s="18"/>
      <c r="L1936" s="25"/>
    </row>
    <row r="1937" hidden="1" customHeight="1" spans="1:12">
      <c r="A1937" s="14" t="str">
        <f t="shared" si="37"/>
        <v>0x000004A0</v>
      </c>
      <c r="B1937" s="15">
        <f>SUM_HEX(C1936:F1936,B1936,3)</f>
        <v>1184</v>
      </c>
      <c r="C1937" s="16" t="s">
        <v>274</v>
      </c>
      <c r="D1937" s="16"/>
      <c r="E1937" s="16"/>
      <c r="F1937" s="16"/>
      <c r="G1937" s="48"/>
      <c r="H1937" s="48"/>
      <c r="I1937" s="18"/>
      <c r="J1937" s="18"/>
      <c r="K1937" s="18"/>
      <c r="L1937" s="25"/>
    </row>
    <row r="1938" hidden="1" customHeight="1" spans="1:12">
      <c r="A1938" s="14" t="str">
        <f t="shared" si="37"/>
        <v>0x000004A4</v>
      </c>
      <c r="B1938" s="15">
        <f>SUM_HEX(C1937:F1937,B1937,3)</f>
        <v>1188</v>
      </c>
      <c r="C1938" s="16" t="s">
        <v>23</v>
      </c>
      <c r="D1938" s="16"/>
      <c r="E1938" s="16"/>
      <c r="F1938" s="16"/>
      <c r="G1938" s="46" t="s">
        <v>157</v>
      </c>
      <c r="H1938" s="46" t="s">
        <v>212</v>
      </c>
      <c r="I1938" s="18" t="s">
        <v>458</v>
      </c>
      <c r="J1938" s="18"/>
      <c r="K1938" s="18"/>
      <c r="L1938" s="25" t="s">
        <v>272</v>
      </c>
    </row>
    <row r="1939" hidden="1" customHeight="1" spans="1:12">
      <c r="A1939" s="14" t="str">
        <f t="shared" si="37"/>
        <v>0x000004A8</v>
      </c>
      <c r="B1939" s="15">
        <f>SUM_HEX(C1938:F1938,B1938,3)</f>
        <v>1192</v>
      </c>
      <c r="C1939" s="16" t="s">
        <v>459</v>
      </c>
      <c r="D1939" s="16"/>
      <c r="E1939" s="16"/>
      <c r="F1939" s="16"/>
      <c r="G1939" s="47"/>
      <c r="H1939" s="47"/>
      <c r="I1939" s="18"/>
      <c r="J1939" s="18"/>
      <c r="K1939" s="18"/>
      <c r="L1939" s="25"/>
    </row>
    <row r="1940" hidden="1" customHeight="1" spans="1:12">
      <c r="A1940" s="14" t="str">
        <f t="shared" si="37"/>
        <v>0x000004AC</v>
      </c>
      <c r="B1940" s="15">
        <f>SUM_HEX(C1939:F1939,B1939,3)</f>
        <v>1196</v>
      </c>
      <c r="C1940" s="16" t="s">
        <v>23</v>
      </c>
      <c r="D1940" s="16" t="s">
        <v>23</v>
      </c>
      <c r="E1940" s="16"/>
      <c r="F1940" s="16"/>
      <c r="G1940" s="47"/>
      <c r="H1940" s="47"/>
      <c r="I1940" s="18"/>
      <c r="J1940" s="18"/>
      <c r="K1940" s="18"/>
      <c r="L1940" s="25"/>
    </row>
    <row r="1941" hidden="1" customHeight="1" spans="1:12">
      <c r="A1941" s="14" t="str">
        <f t="shared" si="37"/>
        <v>0x000004B4</v>
      </c>
      <c r="B1941" s="15">
        <f>SUM_HEX(C1940:F1940,B1940,3)</f>
        <v>1204</v>
      </c>
      <c r="C1941" s="16" t="s">
        <v>274</v>
      </c>
      <c r="D1941" s="16"/>
      <c r="E1941" s="16"/>
      <c r="F1941" s="16"/>
      <c r="G1941" s="48"/>
      <c r="H1941" s="48"/>
      <c r="I1941" s="18"/>
      <c r="J1941" s="18"/>
      <c r="K1941" s="18"/>
      <c r="L1941" s="25"/>
    </row>
    <row r="1942" hidden="1" customHeight="1" spans="1:12">
      <c r="A1942" s="14" t="str">
        <f t="shared" si="37"/>
        <v>0x000004B8</v>
      </c>
      <c r="B1942" s="15">
        <f>SUM_HEX(C1941:F1941,B1941,3)</f>
        <v>1208</v>
      </c>
      <c r="C1942" s="16" t="s">
        <v>23</v>
      </c>
      <c r="D1942" s="16"/>
      <c r="E1942" s="16"/>
      <c r="F1942" s="16"/>
      <c r="G1942" s="46" t="s">
        <v>157</v>
      </c>
      <c r="H1942" s="46" t="s">
        <v>212</v>
      </c>
      <c r="I1942" s="18" t="s">
        <v>460</v>
      </c>
      <c r="J1942" s="18"/>
      <c r="K1942" s="18"/>
      <c r="L1942" s="25"/>
    </row>
    <row r="1943" hidden="1" customHeight="1" spans="1:12">
      <c r="A1943" s="14" t="str">
        <f t="shared" si="37"/>
        <v>0x000004BC</v>
      </c>
      <c r="B1943" s="15">
        <f>SUM_HEX(C1942:F1942,B1942,3)</f>
        <v>1212</v>
      </c>
      <c r="C1943" s="16" t="s">
        <v>461</v>
      </c>
      <c r="D1943" s="16"/>
      <c r="E1943" s="16"/>
      <c r="F1943" s="16"/>
      <c r="G1943" s="47"/>
      <c r="H1943" s="47"/>
      <c r="I1943" s="18"/>
      <c r="J1943" s="18"/>
      <c r="K1943" s="18"/>
      <c r="L1943" s="25"/>
    </row>
    <row r="1944" hidden="1" customHeight="1" spans="1:12">
      <c r="A1944" s="14" t="str">
        <f t="shared" si="37"/>
        <v>0x000004C0</v>
      </c>
      <c r="B1944" s="15">
        <f>SUM_HEX(C1943:F1943,B1943,3)</f>
        <v>1216</v>
      </c>
      <c r="C1944" s="16" t="s">
        <v>23</v>
      </c>
      <c r="D1944" s="16" t="s">
        <v>23</v>
      </c>
      <c r="E1944" s="16"/>
      <c r="F1944" s="16"/>
      <c r="G1944" s="47"/>
      <c r="H1944" s="47"/>
      <c r="I1944" s="18"/>
      <c r="J1944" s="18"/>
      <c r="K1944" s="18"/>
      <c r="L1944" s="25"/>
    </row>
    <row r="1945" hidden="1" customHeight="1" spans="1:12">
      <c r="A1945" s="14" t="str">
        <f t="shared" si="37"/>
        <v>0x000004C8</v>
      </c>
      <c r="B1945" s="15">
        <f>SUM_HEX(C1944:F1944,B1944,3)</f>
        <v>1224</v>
      </c>
      <c r="C1945" s="16" t="s">
        <v>274</v>
      </c>
      <c r="D1945" s="16"/>
      <c r="E1945" s="16"/>
      <c r="F1945" s="16"/>
      <c r="G1945" s="48"/>
      <c r="H1945" s="48"/>
      <c r="I1945" s="18"/>
      <c r="J1945" s="18"/>
      <c r="K1945" s="18"/>
      <c r="L1945" s="25"/>
    </row>
    <row r="1946" hidden="1" customHeight="1" spans="1:12">
      <c r="A1946" s="14" t="str">
        <f t="shared" si="37"/>
        <v>0x000004CC</v>
      </c>
      <c r="B1946" s="15">
        <f>SUM_HEX(C1945:F1945,B1945,3)</f>
        <v>1228</v>
      </c>
      <c r="C1946" s="16" t="s">
        <v>462</v>
      </c>
      <c r="D1946" s="16"/>
      <c r="E1946" s="16"/>
      <c r="F1946" s="16"/>
      <c r="G1946" s="18" t="s">
        <v>33</v>
      </c>
      <c r="H1946" s="18" t="s">
        <v>54</v>
      </c>
      <c r="I1946" s="24" t="s">
        <v>463</v>
      </c>
      <c r="J1946" s="24" t="s">
        <v>464</v>
      </c>
      <c r="K1946" s="18"/>
      <c r="L1946" s="25"/>
    </row>
    <row r="1947" hidden="1" customHeight="1" spans="1:12">
      <c r="A1947" s="14"/>
      <c r="B1947" s="15"/>
      <c r="C1947" s="16"/>
      <c r="D1947" s="16"/>
      <c r="E1947" s="16"/>
      <c r="F1947" s="16"/>
      <c r="G1947" s="18"/>
      <c r="H1947" s="18" t="s">
        <v>57</v>
      </c>
      <c r="I1947" s="24"/>
      <c r="J1947" s="24" t="s">
        <v>465</v>
      </c>
      <c r="K1947" s="18"/>
      <c r="L1947" s="25"/>
    </row>
    <row r="1948" hidden="1" customHeight="1" spans="1:12">
      <c r="A1948" s="14"/>
      <c r="B1948" s="15"/>
      <c r="C1948" s="16"/>
      <c r="D1948" s="16"/>
      <c r="E1948" s="16"/>
      <c r="F1948" s="16"/>
      <c r="G1948" s="18"/>
      <c r="H1948" s="18" t="s">
        <v>58</v>
      </c>
      <c r="I1948" s="24"/>
      <c r="J1948" s="24" t="s">
        <v>466</v>
      </c>
      <c r="K1948" s="18"/>
      <c r="L1948" s="25"/>
    </row>
    <row r="1949" hidden="1" customHeight="1" spans="1:12">
      <c r="A1949" s="14"/>
      <c r="B1949" s="15"/>
      <c r="C1949" s="16"/>
      <c r="D1949" s="16"/>
      <c r="E1949" s="16"/>
      <c r="F1949" s="16"/>
      <c r="G1949" s="18"/>
      <c r="H1949" s="18" t="s">
        <v>59</v>
      </c>
      <c r="I1949" s="24"/>
      <c r="J1949" s="24" t="s">
        <v>467</v>
      </c>
      <c r="K1949" s="18"/>
      <c r="L1949" s="25"/>
    </row>
    <row r="1950" hidden="1" customHeight="1" spans="1:12">
      <c r="A1950" s="14"/>
      <c r="B1950" s="15"/>
      <c r="C1950" s="16"/>
      <c r="D1950" s="16"/>
      <c r="E1950" s="16"/>
      <c r="F1950" s="16"/>
      <c r="G1950" s="18"/>
      <c r="H1950" s="18" t="s">
        <v>60</v>
      </c>
      <c r="I1950" s="24"/>
      <c r="J1950" s="24" t="s">
        <v>468</v>
      </c>
      <c r="K1950" s="18"/>
      <c r="L1950" s="25"/>
    </row>
    <row r="1951" hidden="1" customHeight="1" spans="1:12">
      <c r="A1951" s="14"/>
      <c r="B1951" s="15"/>
      <c r="C1951" s="16"/>
      <c r="D1951" s="16"/>
      <c r="E1951" s="16"/>
      <c r="F1951" s="16"/>
      <c r="G1951" s="18"/>
      <c r="H1951" s="18" t="s">
        <v>61</v>
      </c>
      <c r="I1951" s="24"/>
      <c r="J1951" s="18"/>
      <c r="K1951" s="18"/>
      <c r="L1951" s="25"/>
    </row>
    <row r="1952" hidden="1" customHeight="1" spans="1:12">
      <c r="A1952" s="14"/>
      <c r="B1952" s="15"/>
      <c r="C1952" s="16"/>
      <c r="D1952" s="16"/>
      <c r="E1952" s="16"/>
      <c r="F1952" s="16"/>
      <c r="G1952" s="18"/>
      <c r="H1952" s="18" t="s">
        <v>62</v>
      </c>
      <c r="I1952" s="24"/>
      <c r="J1952" s="24" t="s">
        <v>469</v>
      </c>
      <c r="K1952" s="18"/>
      <c r="L1952" s="25"/>
    </row>
    <row r="1953" hidden="1" customHeight="1" spans="1:12">
      <c r="A1953" s="14"/>
      <c r="B1953" s="15"/>
      <c r="C1953" s="16"/>
      <c r="D1953" s="16"/>
      <c r="E1953" s="16"/>
      <c r="F1953" s="16"/>
      <c r="G1953" s="18"/>
      <c r="H1953" s="18" t="s">
        <v>63</v>
      </c>
      <c r="I1953" s="24"/>
      <c r="J1953" s="24" t="s">
        <v>470</v>
      </c>
      <c r="K1953" s="18"/>
      <c r="L1953" s="25"/>
    </row>
    <row r="1954" hidden="1" customHeight="1" spans="1:12">
      <c r="A1954" s="14"/>
      <c r="B1954" s="15"/>
      <c r="C1954" s="16"/>
      <c r="D1954" s="16"/>
      <c r="E1954" s="16"/>
      <c r="F1954" s="16"/>
      <c r="G1954" s="18"/>
      <c r="H1954" s="18" t="s">
        <v>64</v>
      </c>
      <c r="I1954" s="24"/>
      <c r="J1954" s="24" t="s">
        <v>471</v>
      </c>
      <c r="K1954" s="18"/>
      <c r="L1954" s="25"/>
    </row>
    <row r="1955" hidden="1" customHeight="1" spans="1:12">
      <c r="A1955" s="14"/>
      <c r="B1955" s="15"/>
      <c r="C1955" s="16"/>
      <c r="D1955" s="16"/>
      <c r="E1955" s="16"/>
      <c r="F1955" s="16"/>
      <c r="G1955" s="18"/>
      <c r="H1955" s="18" t="s">
        <v>65</v>
      </c>
      <c r="I1955" s="24"/>
      <c r="J1955" s="24" t="s">
        <v>472</v>
      </c>
      <c r="K1955" s="18"/>
      <c r="L1955" s="25"/>
    </row>
    <row r="1956" hidden="1" customHeight="1" spans="1:12">
      <c r="A1956" s="14"/>
      <c r="B1956" s="15"/>
      <c r="C1956" s="16"/>
      <c r="D1956" s="16"/>
      <c r="E1956" s="16"/>
      <c r="F1956" s="16"/>
      <c r="G1956" s="18"/>
      <c r="H1956" s="18" t="s">
        <v>66</v>
      </c>
      <c r="I1956" s="24"/>
      <c r="J1956" s="24" t="s">
        <v>473</v>
      </c>
      <c r="K1956" s="18"/>
      <c r="L1956" s="25"/>
    </row>
    <row r="1957" hidden="1" customHeight="1" spans="1:12">
      <c r="A1957" s="14"/>
      <c r="B1957" s="15"/>
      <c r="C1957" s="16"/>
      <c r="D1957" s="16"/>
      <c r="E1957" s="16"/>
      <c r="F1957" s="16"/>
      <c r="G1957" s="18"/>
      <c r="H1957" s="18" t="s">
        <v>67</v>
      </c>
      <c r="I1957" s="24"/>
      <c r="J1957" s="24" t="s">
        <v>474</v>
      </c>
      <c r="K1957" s="18"/>
      <c r="L1957" s="25"/>
    </row>
    <row r="1958" hidden="1" customHeight="1" spans="1:12">
      <c r="A1958" s="14"/>
      <c r="B1958" s="15"/>
      <c r="C1958" s="16"/>
      <c r="D1958" s="16"/>
      <c r="E1958" s="16"/>
      <c r="F1958" s="16"/>
      <c r="G1958" s="18"/>
      <c r="H1958" s="18" t="s">
        <v>68</v>
      </c>
      <c r="I1958" s="24"/>
      <c r="J1958" s="24" t="s">
        <v>475</v>
      </c>
      <c r="K1958" s="18"/>
      <c r="L1958" s="25"/>
    </row>
    <row r="1959" hidden="1" customHeight="1" spans="1:12">
      <c r="A1959" s="14"/>
      <c r="B1959" s="15"/>
      <c r="C1959" s="16"/>
      <c r="D1959" s="16"/>
      <c r="E1959" s="16"/>
      <c r="F1959" s="16"/>
      <c r="G1959" s="18"/>
      <c r="H1959" s="18" t="s">
        <v>69</v>
      </c>
      <c r="I1959" s="24"/>
      <c r="J1959" s="24" t="s">
        <v>476</v>
      </c>
      <c r="K1959" s="18"/>
      <c r="L1959" s="25"/>
    </row>
    <row r="1960" hidden="1" customHeight="1" spans="1:12">
      <c r="A1960" s="14"/>
      <c r="B1960" s="15"/>
      <c r="C1960" s="16"/>
      <c r="D1960" s="16"/>
      <c r="E1960" s="16"/>
      <c r="F1960" s="16"/>
      <c r="G1960" s="18"/>
      <c r="H1960" s="18" t="s">
        <v>70</v>
      </c>
      <c r="I1960" s="24"/>
      <c r="J1960" s="24" t="s">
        <v>477</v>
      </c>
      <c r="K1960" s="18"/>
      <c r="L1960" s="25"/>
    </row>
    <row r="1961" hidden="1" customHeight="1" spans="1:12">
      <c r="A1961" s="14"/>
      <c r="B1961" s="15"/>
      <c r="C1961" s="16"/>
      <c r="D1961" s="16"/>
      <c r="E1961" s="16"/>
      <c r="F1961" s="16"/>
      <c r="G1961" s="18"/>
      <c r="H1961" s="18" t="s">
        <v>71</v>
      </c>
      <c r="I1961" s="24"/>
      <c r="J1961" s="24" t="s">
        <v>478</v>
      </c>
      <c r="K1961" s="18"/>
      <c r="L1961" s="25"/>
    </row>
    <row r="1962" hidden="1" customHeight="1" spans="1:12">
      <c r="A1962" s="14"/>
      <c r="B1962" s="15"/>
      <c r="C1962" s="16"/>
      <c r="D1962" s="16"/>
      <c r="E1962" s="16"/>
      <c r="F1962" s="16"/>
      <c r="G1962" s="18"/>
      <c r="H1962" s="18" t="s">
        <v>72</v>
      </c>
      <c r="I1962" s="24"/>
      <c r="J1962" s="24" t="s">
        <v>479</v>
      </c>
      <c r="K1962" s="18"/>
      <c r="L1962" s="25"/>
    </row>
    <row r="1963" hidden="1" customHeight="1" spans="1:12">
      <c r="A1963" s="14"/>
      <c r="B1963" s="15"/>
      <c r="C1963" s="16"/>
      <c r="D1963" s="16"/>
      <c r="E1963" s="16"/>
      <c r="F1963" s="16"/>
      <c r="G1963" s="18"/>
      <c r="H1963" s="18" t="s">
        <v>73</v>
      </c>
      <c r="I1963" s="24"/>
      <c r="J1963" s="24" t="s">
        <v>480</v>
      </c>
      <c r="K1963" s="18"/>
      <c r="L1963" s="25"/>
    </row>
    <row r="1964" hidden="1" customHeight="1" spans="1:12">
      <c r="A1964" s="14"/>
      <c r="B1964" s="15"/>
      <c r="C1964" s="16"/>
      <c r="D1964" s="16"/>
      <c r="E1964" s="16"/>
      <c r="F1964" s="16"/>
      <c r="G1964" s="18"/>
      <c r="H1964" s="18" t="s">
        <v>74</v>
      </c>
      <c r="I1964" s="24"/>
      <c r="J1964" s="24" t="s">
        <v>481</v>
      </c>
      <c r="K1964" s="18"/>
      <c r="L1964" s="25"/>
    </row>
    <row r="1965" hidden="1" customHeight="1" spans="1:12">
      <c r="A1965" s="14"/>
      <c r="B1965" s="15"/>
      <c r="C1965" s="16"/>
      <c r="D1965" s="16"/>
      <c r="E1965" s="16"/>
      <c r="F1965" s="16"/>
      <c r="G1965" s="18"/>
      <c r="H1965" s="18" t="s">
        <v>75</v>
      </c>
      <c r="I1965" s="24"/>
      <c r="J1965" s="24" t="s">
        <v>482</v>
      </c>
      <c r="K1965" s="18"/>
      <c r="L1965" s="25"/>
    </row>
    <row r="1966" hidden="1" customHeight="1" spans="1:12">
      <c r="A1966" s="14"/>
      <c r="B1966" s="15"/>
      <c r="C1966" s="16"/>
      <c r="D1966" s="16"/>
      <c r="E1966" s="16"/>
      <c r="F1966" s="16"/>
      <c r="G1966" s="18"/>
      <c r="H1966" s="18" t="s">
        <v>76</v>
      </c>
      <c r="I1966" s="24"/>
      <c r="J1966" s="24" t="s">
        <v>483</v>
      </c>
      <c r="K1966" s="18"/>
      <c r="L1966" s="25"/>
    </row>
    <row r="1967" hidden="1" customHeight="1" spans="1:12">
      <c r="A1967" s="14"/>
      <c r="B1967" s="15"/>
      <c r="C1967" s="16"/>
      <c r="D1967" s="16"/>
      <c r="E1967" s="16"/>
      <c r="F1967" s="16"/>
      <c r="G1967" s="18"/>
      <c r="H1967" s="18" t="s">
        <v>77</v>
      </c>
      <c r="I1967" s="24"/>
      <c r="J1967" s="24" t="s">
        <v>484</v>
      </c>
      <c r="K1967" s="18"/>
      <c r="L1967" s="25"/>
    </row>
    <row r="1968" hidden="1" customHeight="1" spans="1:12">
      <c r="A1968" s="14"/>
      <c r="B1968" s="15"/>
      <c r="C1968" s="16"/>
      <c r="D1968" s="16"/>
      <c r="E1968" s="16"/>
      <c r="F1968" s="16"/>
      <c r="G1968" s="18"/>
      <c r="H1968" s="18" t="s">
        <v>78</v>
      </c>
      <c r="I1968" s="24"/>
      <c r="J1968" s="24" t="s">
        <v>485</v>
      </c>
      <c r="K1968" s="18"/>
      <c r="L1968" s="25"/>
    </row>
    <row r="1969" hidden="1" customHeight="1" spans="1:12">
      <c r="A1969" s="14"/>
      <c r="B1969" s="15"/>
      <c r="C1969" s="16"/>
      <c r="D1969" s="16"/>
      <c r="E1969" s="16"/>
      <c r="F1969" s="16"/>
      <c r="G1969" s="18"/>
      <c r="H1969" s="18" t="s">
        <v>79</v>
      </c>
      <c r="I1969" s="24"/>
      <c r="J1969" s="24" t="s">
        <v>486</v>
      </c>
      <c r="K1969" s="18"/>
      <c r="L1969" s="25"/>
    </row>
    <row r="1970" hidden="1" customHeight="1" spans="1:12">
      <c r="A1970" s="14"/>
      <c r="B1970" s="15"/>
      <c r="C1970" s="16"/>
      <c r="D1970" s="16"/>
      <c r="E1970" s="16"/>
      <c r="F1970" s="16"/>
      <c r="G1970" s="18"/>
      <c r="H1970" s="18" t="s">
        <v>80</v>
      </c>
      <c r="I1970" s="24"/>
      <c r="J1970" s="24" t="s">
        <v>487</v>
      </c>
      <c r="K1970" s="18"/>
      <c r="L1970" s="25"/>
    </row>
    <row r="1971" hidden="1" customHeight="1" spans="1:12">
      <c r="A1971" s="14"/>
      <c r="B1971" s="15"/>
      <c r="C1971" s="16"/>
      <c r="D1971" s="16"/>
      <c r="E1971" s="16"/>
      <c r="F1971" s="16"/>
      <c r="G1971" s="18"/>
      <c r="H1971" s="18" t="s">
        <v>81</v>
      </c>
      <c r="I1971" s="24"/>
      <c r="J1971" s="24" t="s">
        <v>488</v>
      </c>
      <c r="K1971" s="18"/>
      <c r="L1971" s="25"/>
    </row>
    <row r="1972" hidden="1" customHeight="1" spans="1:12">
      <c r="A1972" s="14"/>
      <c r="B1972" s="15"/>
      <c r="C1972" s="16"/>
      <c r="D1972" s="16"/>
      <c r="E1972" s="16"/>
      <c r="F1972" s="16"/>
      <c r="G1972" s="18"/>
      <c r="H1972" s="18" t="s">
        <v>82</v>
      </c>
      <c r="I1972" s="24"/>
      <c r="J1972" s="24" t="s">
        <v>489</v>
      </c>
      <c r="K1972" s="18"/>
      <c r="L1972" s="25"/>
    </row>
    <row r="1973" hidden="1" customHeight="1" spans="1:12">
      <c r="A1973" s="14"/>
      <c r="B1973" s="15"/>
      <c r="C1973" s="16"/>
      <c r="D1973" s="16"/>
      <c r="E1973" s="16"/>
      <c r="F1973" s="16"/>
      <c r="G1973" s="18"/>
      <c r="H1973" s="18" t="s">
        <v>83</v>
      </c>
      <c r="I1973" s="24"/>
      <c r="J1973" s="24"/>
      <c r="K1973" s="18"/>
      <c r="L1973" s="25"/>
    </row>
    <row r="1974" hidden="1" customHeight="1" spans="1:12">
      <c r="A1974" s="14"/>
      <c r="B1974" s="15"/>
      <c r="C1974" s="16"/>
      <c r="D1974" s="16"/>
      <c r="E1974" s="16"/>
      <c r="F1974" s="16"/>
      <c r="G1974" s="18"/>
      <c r="H1974" s="18" t="s">
        <v>84</v>
      </c>
      <c r="I1974" s="24"/>
      <c r="J1974" s="24" t="s">
        <v>490</v>
      </c>
      <c r="K1974" s="18"/>
      <c r="L1974" s="25"/>
    </row>
    <row r="1975" hidden="1" customHeight="1" spans="1:12">
      <c r="A1975" s="14"/>
      <c r="B1975" s="15"/>
      <c r="C1975" s="16"/>
      <c r="D1975" s="16"/>
      <c r="E1975" s="16"/>
      <c r="F1975" s="16"/>
      <c r="G1975" s="18"/>
      <c r="H1975" s="18" t="s">
        <v>85</v>
      </c>
      <c r="I1975" s="24"/>
      <c r="J1975" s="24" t="s">
        <v>491</v>
      </c>
      <c r="K1975" s="18"/>
      <c r="L1975" s="25"/>
    </row>
    <row r="1976" hidden="1" customHeight="1" spans="1:12">
      <c r="A1976" s="14"/>
      <c r="B1976" s="15"/>
      <c r="C1976" s="16"/>
      <c r="D1976" s="16"/>
      <c r="E1976" s="16"/>
      <c r="F1976" s="16"/>
      <c r="G1976" s="18"/>
      <c r="H1976" s="18" t="s">
        <v>86</v>
      </c>
      <c r="I1976" s="24"/>
      <c r="J1976" s="24" t="s">
        <v>492</v>
      </c>
      <c r="K1976" s="18"/>
      <c r="L1976" s="25"/>
    </row>
    <row r="1977" hidden="1" customHeight="1" spans="1:12">
      <c r="A1977" s="14"/>
      <c r="B1977" s="15"/>
      <c r="C1977" s="16"/>
      <c r="D1977" s="16"/>
      <c r="E1977" s="16"/>
      <c r="F1977" s="16"/>
      <c r="G1977" s="18"/>
      <c r="H1977" s="18" t="s">
        <v>87</v>
      </c>
      <c r="I1977" s="24"/>
      <c r="J1977" s="24"/>
      <c r="K1977" s="18"/>
      <c r="L1977" s="25"/>
    </row>
    <row r="1978" hidden="1" customHeight="1" spans="1:12">
      <c r="A1978" s="14" t="str">
        <f>"0x"&amp;DEC2HEX(B1978,8)</f>
        <v>0x000004D0</v>
      </c>
      <c r="B1978" s="15">
        <f>SUM_HEX(C1946:F1977,B1946,3)</f>
        <v>1232</v>
      </c>
      <c r="C1978" s="16" t="s">
        <v>493</v>
      </c>
      <c r="D1978" s="16"/>
      <c r="E1978" s="16"/>
      <c r="F1978" s="16"/>
      <c r="G1978" s="18" t="s">
        <v>33</v>
      </c>
      <c r="H1978" s="18" t="s">
        <v>54</v>
      </c>
      <c r="I1978" s="24" t="s">
        <v>494</v>
      </c>
      <c r="J1978" s="18" t="s">
        <v>495</v>
      </c>
      <c r="K1978" s="18"/>
      <c r="L1978" s="25"/>
    </row>
    <row r="1979" hidden="1" customHeight="1" spans="1:12">
      <c r="A1979" s="14"/>
      <c r="B1979" s="15"/>
      <c r="C1979" s="16"/>
      <c r="D1979" s="16"/>
      <c r="E1979" s="16"/>
      <c r="F1979" s="16"/>
      <c r="G1979" s="18"/>
      <c r="H1979" s="18" t="s">
        <v>57</v>
      </c>
      <c r="I1979" s="24"/>
      <c r="J1979" s="18" t="s">
        <v>496</v>
      </c>
      <c r="K1979" s="18"/>
      <c r="L1979" s="25"/>
    </row>
    <row r="1980" hidden="1" customHeight="1" spans="1:12">
      <c r="A1980" s="14"/>
      <c r="B1980" s="15"/>
      <c r="C1980" s="16"/>
      <c r="D1980" s="16"/>
      <c r="E1980" s="16"/>
      <c r="F1980" s="16"/>
      <c r="G1980" s="18"/>
      <c r="H1980" s="18" t="s">
        <v>58</v>
      </c>
      <c r="I1980" s="24"/>
      <c r="J1980" s="18" t="s">
        <v>497</v>
      </c>
      <c r="K1980" s="18"/>
      <c r="L1980" s="25"/>
    </row>
    <row r="1981" hidden="1" customHeight="1" spans="1:12">
      <c r="A1981" s="14"/>
      <c r="B1981" s="15"/>
      <c r="C1981" s="16"/>
      <c r="D1981" s="16"/>
      <c r="E1981" s="16"/>
      <c r="F1981" s="16"/>
      <c r="G1981" s="18"/>
      <c r="H1981" s="18" t="s">
        <v>59</v>
      </c>
      <c r="I1981" s="24"/>
      <c r="J1981" s="18" t="s">
        <v>498</v>
      </c>
      <c r="K1981" s="18"/>
      <c r="L1981" s="25"/>
    </row>
    <row r="1982" hidden="1" customHeight="1" spans="1:12">
      <c r="A1982" s="14"/>
      <c r="B1982" s="15"/>
      <c r="C1982" s="16"/>
      <c r="D1982" s="16"/>
      <c r="E1982" s="16"/>
      <c r="F1982" s="16"/>
      <c r="G1982" s="18"/>
      <c r="H1982" s="18" t="s">
        <v>60</v>
      </c>
      <c r="I1982" s="24"/>
      <c r="J1982" s="18" t="s">
        <v>500</v>
      </c>
      <c r="K1982" s="18"/>
      <c r="L1982" s="25"/>
    </row>
    <row r="1983" hidden="1" customHeight="1" spans="1:12">
      <c r="A1983" s="14"/>
      <c r="B1983" s="15"/>
      <c r="C1983" s="16"/>
      <c r="D1983" s="16"/>
      <c r="E1983" s="16"/>
      <c r="F1983" s="16"/>
      <c r="G1983" s="18"/>
      <c r="H1983" s="18" t="s">
        <v>61</v>
      </c>
      <c r="I1983" s="24"/>
      <c r="J1983" s="18" t="s">
        <v>500</v>
      </c>
      <c r="K1983" s="18"/>
      <c r="L1983" s="25"/>
    </row>
    <row r="1984" hidden="1" customHeight="1" spans="1:12">
      <c r="A1984" s="14"/>
      <c r="B1984" s="15"/>
      <c r="C1984" s="16"/>
      <c r="D1984" s="16"/>
      <c r="E1984" s="16"/>
      <c r="F1984" s="16"/>
      <c r="G1984" s="18"/>
      <c r="H1984" s="18" t="s">
        <v>62</v>
      </c>
      <c r="I1984" s="24"/>
      <c r="J1984" s="18"/>
      <c r="K1984" s="18"/>
      <c r="L1984" s="25"/>
    </row>
    <row r="1985" hidden="1" customHeight="1" spans="1:12">
      <c r="A1985" s="14"/>
      <c r="B1985" s="15"/>
      <c r="C1985" s="16"/>
      <c r="D1985" s="16"/>
      <c r="E1985" s="16"/>
      <c r="F1985" s="16"/>
      <c r="G1985" s="18"/>
      <c r="H1985" s="18" t="s">
        <v>63</v>
      </c>
      <c r="I1985" s="24"/>
      <c r="J1985" s="18" t="s">
        <v>501</v>
      </c>
      <c r="K1985" s="18"/>
      <c r="L1985" s="25"/>
    </row>
    <row r="1986" hidden="1" customHeight="1" spans="1:12">
      <c r="A1986" s="14" t="str">
        <f t="shared" ref="A1986:A2031" si="38">"0x"&amp;DEC2HEX(B1986,8)</f>
        <v>0x000004D4</v>
      </c>
      <c r="B1986" s="15">
        <f>SUM_HEX(C1978:F1978,B1978,3)</f>
        <v>1236</v>
      </c>
      <c r="C1986" s="16" t="s">
        <v>23</v>
      </c>
      <c r="D1986" s="16"/>
      <c r="E1986" s="16"/>
      <c r="F1986" s="16"/>
      <c r="G1986" s="18" t="s">
        <v>15</v>
      </c>
      <c r="H1986" s="18"/>
      <c r="I1986" s="24" t="s">
        <v>502</v>
      </c>
      <c r="J1986" s="18"/>
      <c r="K1986" s="18" t="s">
        <v>372</v>
      </c>
      <c r="L1986" s="25"/>
    </row>
    <row r="1987" hidden="1" customHeight="1" spans="1:12">
      <c r="A1987" s="14" t="str">
        <f t="shared" si="38"/>
        <v>0x000004D8</v>
      </c>
      <c r="B1987" s="15">
        <f>SUM_HEX(C1986:F1986,B1986,3)</f>
        <v>1240</v>
      </c>
      <c r="C1987" s="16" t="s">
        <v>23</v>
      </c>
      <c r="D1987" s="16"/>
      <c r="E1987" s="16"/>
      <c r="F1987" s="16"/>
      <c r="G1987" s="18" t="s">
        <v>15</v>
      </c>
      <c r="H1987" s="18"/>
      <c r="I1987" s="24" t="s">
        <v>503</v>
      </c>
      <c r="J1987" s="18"/>
      <c r="K1987" s="18" t="s">
        <v>372</v>
      </c>
      <c r="L1987" s="25"/>
    </row>
    <row r="1988" hidden="1" customHeight="1" spans="1:12">
      <c r="A1988" s="14" t="str">
        <f t="shared" si="38"/>
        <v>0x000004DC</v>
      </c>
      <c r="B1988" s="15">
        <f>SUM_HEX(C1987:F1987,B1987,3)</f>
        <v>1244</v>
      </c>
      <c r="C1988" s="16" t="s">
        <v>23</v>
      </c>
      <c r="D1988" s="16"/>
      <c r="E1988" s="16"/>
      <c r="F1988" s="16"/>
      <c r="G1988" s="18" t="s">
        <v>15</v>
      </c>
      <c r="H1988" s="18"/>
      <c r="I1988" s="24" t="s">
        <v>504</v>
      </c>
      <c r="J1988" s="18"/>
      <c r="K1988" s="18" t="s">
        <v>372</v>
      </c>
      <c r="L1988" s="25"/>
    </row>
    <row r="1989" hidden="1" customHeight="1" spans="1:12">
      <c r="A1989" s="14" t="str">
        <f t="shared" si="38"/>
        <v>0x000004E0</v>
      </c>
      <c r="B1989" s="15">
        <f>SUM_HEX(C1988:F1988,B1988,3)</f>
        <v>1248</v>
      </c>
      <c r="C1989" s="16" t="s">
        <v>23</v>
      </c>
      <c r="D1989" s="16"/>
      <c r="E1989" s="16"/>
      <c r="F1989" s="16"/>
      <c r="G1989" s="46" t="s">
        <v>157</v>
      </c>
      <c r="H1989" s="46" t="s">
        <v>212</v>
      </c>
      <c r="I1989" s="18" t="s">
        <v>505</v>
      </c>
      <c r="J1989" s="18"/>
      <c r="K1989" s="18"/>
      <c r="L1989" s="25"/>
    </row>
    <row r="1990" hidden="1" customHeight="1" spans="1:12">
      <c r="A1990" s="14" t="str">
        <f t="shared" si="38"/>
        <v>0x000004E4</v>
      </c>
      <c r="B1990" s="15">
        <f>SUM_HEX(C1989:F1989,B1989,3)</f>
        <v>1252</v>
      </c>
      <c r="C1990" s="16" t="s">
        <v>506</v>
      </c>
      <c r="D1990" s="16"/>
      <c r="E1990" s="16"/>
      <c r="F1990" s="16"/>
      <c r="G1990" s="47"/>
      <c r="H1990" s="47"/>
      <c r="I1990" s="18"/>
      <c r="J1990" s="18"/>
      <c r="K1990" s="18"/>
      <c r="L1990" s="25"/>
    </row>
    <row r="1991" hidden="1" customHeight="1" spans="1:12">
      <c r="A1991" s="14" t="str">
        <f t="shared" si="38"/>
        <v>0x000004E8</v>
      </c>
      <c r="B1991" s="15">
        <f>SUM_HEX(C1990:F1990,B1990,3)</f>
        <v>1256</v>
      </c>
      <c r="C1991" s="16" t="s">
        <v>507</v>
      </c>
      <c r="D1991" s="16" t="s">
        <v>23</v>
      </c>
      <c r="E1991" s="16"/>
      <c r="F1991" s="16"/>
      <c r="G1991" s="47"/>
      <c r="H1991" s="47"/>
      <c r="I1991" s="18"/>
      <c r="J1991" s="18"/>
      <c r="K1991" s="18"/>
      <c r="L1991" s="25"/>
    </row>
    <row r="1992" hidden="1" customHeight="1" spans="1:12">
      <c r="A1992" s="14" t="str">
        <f t="shared" si="38"/>
        <v>0x000004F0</v>
      </c>
      <c r="B1992" s="15">
        <f>SUM_HEX(C1991:F1991,B1991,3)</f>
        <v>1264</v>
      </c>
      <c r="C1992" s="16" t="s">
        <v>274</v>
      </c>
      <c r="D1992" s="16"/>
      <c r="E1992" s="16"/>
      <c r="F1992" s="16"/>
      <c r="G1992" s="48"/>
      <c r="H1992" s="48"/>
      <c r="I1992" s="18"/>
      <c r="J1992" s="18"/>
      <c r="K1992" s="18"/>
      <c r="L1992" s="25"/>
    </row>
    <row r="1993" hidden="1" customHeight="1" spans="1:12">
      <c r="A1993" s="14" t="str">
        <f t="shared" si="38"/>
        <v>0x000004F4</v>
      </c>
      <c r="B1993" s="15">
        <f>SUM_HEX(C1992:F1992,B1992,3)</f>
        <v>1268</v>
      </c>
      <c r="C1993" s="16" t="s">
        <v>23</v>
      </c>
      <c r="D1993" s="16"/>
      <c r="E1993" s="16"/>
      <c r="F1993" s="16"/>
      <c r="G1993" s="46" t="s">
        <v>157</v>
      </c>
      <c r="H1993" s="46" t="s">
        <v>508</v>
      </c>
      <c r="I1993" s="24" t="s">
        <v>509</v>
      </c>
      <c r="J1993" s="18"/>
      <c r="K1993" s="18"/>
      <c r="L1993" s="25"/>
    </row>
    <row r="1994" hidden="1" customHeight="1" spans="1:12">
      <c r="A1994" s="14" t="str">
        <f t="shared" si="38"/>
        <v>0x000004F8</v>
      </c>
      <c r="B1994" s="15">
        <f>SUM_HEX(C1993:F1993,B1993,3)</f>
        <v>1272</v>
      </c>
      <c r="C1994" s="16" t="s">
        <v>510</v>
      </c>
      <c r="D1994" s="16"/>
      <c r="E1994" s="16"/>
      <c r="F1994" s="16"/>
      <c r="G1994" s="47"/>
      <c r="H1994" s="47"/>
      <c r="I1994" s="18"/>
      <c r="J1994" s="18"/>
      <c r="K1994" s="18"/>
      <c r="L1994" s="25"/>
    </row>
    <row r="1995" hidden="1" customHeight="1" spans="1:12">
      <c r="A1995" s="14" t="str">
        <f t="shared" si="38"/>
        <v>0x000004FC</v>
      </c>
      <c r="B1995" s="15">
        <f>SUM_HEX(C1994:F1994,B1994,3)</f>
        <v>1276</v>
      </c>
      <c r="C1995" s="16" t="s">
        <v>23</v>
      </c>
      <c r="D1995" s="16" t="s">
        <v>23</v>
      </c>
      <c r="E1995" s="16"/>
      <c r="F1995" s="16"/>
      <c r="G1995" s="47"/>
      <c r="H1995" s="47"/>
      <c r="I1995" s="18"/>
      <c r="J1995" s="18"/>
      <c r="K1995" s="18"/>
      <c r="L1995" s="25"/>
    </row>
    <row r="1996" hidden="1" customHeight="1" spans="1:12">
      <c r="A1996" s="14" t="str">
        <f t="shared" si="38"/>
        <v>0x00000504</v>
      </c>
      <c r="B1996" s="15">
        <f>SUM_HEX(C1995:F1995,B1995,3)</f>
        <v>1284</v>
      </c>
      <c r="C1996" s="16" t="s">
        <v>23</v>
      </c>
      <c r="D1996" s="16" t="s">
        <v>23</v>
      </c>
      <c r="E1996" s="16"/>
      <c r="F1996" s="16"/>
      <c r="G1996" s="47"/>
      <c r="H1996" s="47"/>
      <c r="I1996" s="18"/>
      <c r="J1996" s="18"/>
      <c r="K1996" s="18"/>
      <c r="L1996" s="25"/>
    </row>
    <row r="1997" hidden="1" customHeight="1" spans="1:12">
      <c r="A1997" s="14" t="str">
        <f t="shared" si="38"/>
        <v>0x0000050C</v>
      </c>
      <c r="B1997" s="15">
        <f>SUM_HEX(C1996:F1996,B1996,3)</f>
        <v>1292</v>
      </c>
      <c r="C1997" s="16" t="s">
        <v>274</v>
      </c>
      <c r="D1997" s="16"/>
      <c r="E1997" s="16"/>
      <c r="F1997" s="16"/>
      <c r="G1997" s="48"/>
      <c r="H1997" s="48"/>
      <c r="I1997" s="18"/>
      <c r="J1997" s="18"/>
      <c r="K1997" s="18"/>
      <c r="L1997" s="25"/>
    </row>
    <row r="1998" hidden="1" customHeight="1" spans="1:12">
      <c r="A1998" s="14" t="str">
        <f t="shared" si="38"/>
        <v>0x00000510</v>
      </c>
      <c r="B1998" s="15">
        <f>SUM_HEX(C1997:F1997,B1997,3)</f>
        <v>1296</v>
      </c>
      <c r="C1998" s="16" t="s">
        <v>23</v>
      </c>
      <c r="D1998" s="16"/>
      <c r="E1998" s="16"/>
      <c r="F1998" s="16"/>
      <c r="G1998" s="46" t="s">
        <v>157</v>
      </c>
      <c r="H1998" s="46" t="s">
        <v>326</v>
      </c>
      <c r="I1998" s="24" t="s">
        <v>511</v>
      </c>
      <c r="J1998" s="18"/>
      <c r="K1998" s="18" t="s">
        <v>512</v>
      </c>
      <c r="L1998" s="25" t="s">
        <v>333</v>
      </c>
    </row>
    <row r="1999" hidden="1" customHeight="1" spans="1:12">
      <c r="A1999" s="14" t="str">
        <f t="shared" si="38"/>
        <v>0x00000514</v>
      </c>
      <c r="B1999" s="15">
        <f>SUM_HEX(C1998:F1998,B1998,3)</f>
        <v>1300</v>
      </c>
      <c r="C1999" s="16" t="s">
        <v>513</v>
      </c>
      <c r="D1999" s="16"/>
      <c r="E1999" s="16"/>
      <c r="F1999" s="16"/>
      <c r="G1999" s="47"/>
      <c r="H1999" s="47"/>
      <c r="I1999" s="18"/>
      <c r="J1999" s="18"/>
      <c r="K1999" s="18"/>
      <c r="L1999" s="25"/>
    </row>
    <row r="2000" hidden="1" customHeight="1" spans="1:12">
      <c r="A2000" s="14" t="str">
        <f t="shared" si="38"/>
        <v>0x00000518</v>
      </c>
      <c r="B2000" s="15">
        <f>SUM_HEX(C1999:F1999,B1999,3)</f>
        <v>1304</v>
      </c>
      <c r="C2000" s="16" t="s">
        <v>23</v>
      </c>
      <c r="D2000" s="16" t="s">
        <v>23</v>
      </c>
      <c r="E2000" s="16" t="s">
        <v>23</v>
      </c>
      <c r="F2000" s="16"/>
      <c r="G2000" s="47"/>
      <c r="H2000" s="47"/>
      <c r="I2000" s="18"/>
      <c r="J2000" s="18"/>
      <c r="K2000" s="18"/>
      <c r="L2000" s="25"/>
    </row>
    <row r="2001" hidden="1" customHeight="1" spans="1:12">
      <c r="A2001" s="14" t="str">
        <f t="shared" si="38"/>
        <v>0x00000524</v>
      </c>
      <c r="B2001" s="15">
        <f>SUM_HEX(C2000:F2000,B2000,3)</f>
        <v>1316</v>
      </c>
      <c r="C2001" s="16" t="s">
        <v>23</v>
      </c>
      <c r="D2001" s="16" t="s">
        <v>23</v>
      </c>
      <c r="E2001" s="16" t="s">
        <v>23</v>
      </c>
      <c r="F2001" s="16"/>
      <c r="G2001" s="47"/>
      <c r="H2001" s="47"/>
      <c r="I2001" s="18"/>
      <c r="J2001" s="18"/>
      <c r="K2001" s="18"/>
      <c r="L2001" s="25"/>
    </row>
    <row r="2002" hidden="1" customHeight="1" spans="1:12">
      <c r="A2002" s="14" t="str">
        <f t="shared" si="38"/>
        <v>0x00000530</v>
      </c>
      <c r="B2002" s="15">
        <f>SUM_HEX(C2001:F2001,B2001,3)</f>
        <v>1328</v>
      </c>
      <c r="C2002" s="16" t="s">
        <v>274</v>
      </c>
      <c r="D2002" s="16"/>
      <c r="E2002" s="16"/>
      <c r="F2002" s="16"/>
      <c r="G2002" s="48"/>
      <c r="H2002" s="48"/>
      <c r="I2002" s="18"/>
      <c r="J2002" s="18"/>
      <c r="K2002" s="18"/>
      <c r="L2002" s="25"/>
    </row>
    <row r="2003" hidden="1" customHeight="1" spans="1:12">
      <c r="A2003" s="14" t="str">
        <f t="shared" si="38"/>
        <v>0x00000534</v>
      </c>
      <c r="B2003" s="15">
        <f>SUM_HEX(C2002:F2002,B2002,3)</f>
        <v>1332</v>
      </c>
      <c r="C2003" s="16" t="s">
        <v>23</v>
      </c>
      <c r="D2003" s="16"/>
      <c r="E2003" s="16"/>
      <c r="F2003" s="16"/>
      <c r="G2003" s="46" t="s">
        <v>157</v>
      </c>
      <c r="H2003" s="46" t="s">
        <v>508</v>
      </c>
      <c r="I2003" s="24" t="s">
        <v>514</v>
      </c>
      <c r="J2003" s="18"/>
      <c r="K2003" s="18"/>
      <c r="L2003" s="25"/>
    </row>
    <row r="2004" hidden="1" customHeight="1" spans="1:12">
      <c r="A2004" s="14" t="str">
        <f t="shared" si="38"/>
        <v>0x00000538</v>
      </c>
      <c r="B2004" s="15">
        <f>SUM_HEX(C2003:F2003,B2003,3)</f>
        <v>1336</v>
      </c>
      <c r="C2004" s="16" t="s">
        <v>515</v>
      </c>
      <c r="D2004" s="16"/>
      <c r="E2004" s="16"/>
      <c r="F2004" s="16"/>
      <c r="G2004" s="47"/>
      <c r="H2004" s="47"/>
      <c r="I2004" s="18"/>
      <c r="J2004" s="18"/>
      <c r="K2004" s="18"/>
      <c r="L2004" s="25"/>
    </row>
    <row r="2005" hidden="1" customHeight="1" spans="1:12">
      <c r="A2005" s="14" t="str">
        <f t="shared" si="38"/>
        <v>0x0000053C</v>
      </c>
      <c r="B2005" s="15">
        <f>SUM_HEX(C2004:F2004,B2004,3)</f>
        <v>1340</v>
      </c>
      <c r="C2005" s="16" t="s">
        <v>148</v>
      </c>
      <c r="D2005" s="16" t="s">
        <v>148</v>
      </c>
      <c r="E2005" s="16"/>
      <c r="F2005" s="16"/>
      <c r="G2005" s="47"/>
      <c r="H2005" s="47"/>
      <c r="I2005" s="18"/>
      <c r="J2005" s="18"/>
      <c r="K2005" s="18"/>
      <c r="L2005" s="25"/>
    </row>
    <row r="2006" hidden="1" customHeight="1" spans="1:12">
      <c r="A2006" s="14" t="str">
        <f t="shared" si="38"/>
        <v>0x00000544</v>
      </c>
      <c r="B2006" s="15">
        <f>SUM_HEX(C2005:F2005,B2005,3)</f>
        <v>1348</v>
      </c>
      <c r="C2006" s="16" t="s">
        <v>148</v>
      </c>
      <c r="D2006" s="16" t="s">
        <v>148</v>
      </c>
      <c r="E2006" s="16"/>
      <c r="F2006" s="16"/>
      <c r="G2006" s="47"/>
      <c r="H2006" s="47"/>
      <c r="I2006" s="18"/>
      <c r="J2006" s="18"/>
      <c r="K2006" s="18"/>
      <c r="L2006" s="25"/>
    </row>
    <row r="2007" hidden="1" customHeight="1" spans="1:12">
      <c r="A2007" s="14" t="str">
        <f t="shared" si="38"/>
        <v>0x0000054C</v>
      </c>
      <c r="B2007" s="15">
        <f>SUM_HEX(C2006:F2006,B2006,3)</f>
        <v>1356</v>
      </c>
      <c r="C2007" s="16" t="s">
        <v>274</v>
      </c>
      <c r="D2007" s="16"/>
      <c r="E2007" s="16"/>
      <c r="F2007" s="16"/>
      <c r="G2007" s="48"/>
      <c r="H2007" s="48"/>
      <c r="I2007" s="18"/>
      <c r="J2007" s="18"/>
      <c r="K2007" s="18"/>
      <c r="L2007" s="25"/>
    </row>
    <row r="2008" hidden="1" customHeight="1" spans="1:12">
      <c r="A2008" s="14" t="str">
        <f t="shared" si="38"/>
        <v>0x00000550</v>
      </c>
      <c r="B2008" s="15">
        <f>SUM_HEX(C2007:F2007,B2007,3)</f>
        <v>1360</v>
      </c>
      <c r="C2008" s="16" t="s">
        <v>23</v>
      </c>
      <c r="D2008" s="16" t="s">
        <v>23</v>
      </c>
      <c r="E2008" s="16" t="s">
        <v>23</v>
      </c>
      <c r="F2008" s="16"/>
      <c r="G2008" s="18" t="s">
        <v>24</v>
      </c>
      <c r="H2008" s="18" t="s">
        <v>537</v>
      </c>
      <c r="I2008" s="24" t="s">
        <v>517</v>
      </c>
      <c r="J2008" s="18"/>
      <c r="K2008" s="18" t="s">
        <v>405</v>
      </c>
      <c r="L2008" s="25" t="s">
        <v>280</v>
      </c>
    </row>
    <row r="2009" hidden="1" customHeight="1" spans="1:12">
      <c r="A2009" s="14" t="str">
        <f t="shared" si="38"/>
        <v>0x0000055C</v>
      </c>
      <c r="B2009" s="15">
        <f>SUM_HEX(C2008:F2008,B2008,3)</f>
        <v>1372</v>
      </c>
      <c r="C2009" s="16" t="s">
        <v>23</v>
      </c>
      <c r="D2009" s="16"/>
      <c r="E2009" s="16"/>
      <c r="F2009" s="16"/>
      <c r="G2009" s="18" t="s">
        <v>212</v>
      </c>
      <c r="H2009" s="18"/>
      <c r="I2009" s="24" t="s">
        <v>518</v>
      </c>
      <c r="J2009" s="18"/>
      <c r="K2009" s="18"/>
      <c r="L2009" s="25"/>
    </row>
    <row r="2010" hidden="1" customHeight="1" spans="1:12">
      <c r="A2010" s="14" t="str">
        <f t="shared" si="38"/>
        <v>0x00000560</v>
      </c>
      <c r="B2010" s="15">
        <f>SUM_HEX(C2009:F2009,B2009,3)</f>
        <v>1376</v>
      </c>
      <c r="C2010" s="16" t="s">
        <v>29</v>
      </c>
      <c r="D2010" s="16"/>
      <c r="E2010" s="16"/>
      <c r="F2010" s="16"/>
      <c r="G2010" s="18" t="s">
        <v>15</v>
      </c>
      <c r="H2010" s="18"/>
      <c r="I2010" s="24" t="s">
        <v>519</v>
      </c>
      <c r="J2010" s="18"/>
      <c r="K2010" s="18" t="s">
        <v>520</v>
      </c>
      <c r="L2010" s="25"/>
    </row>
    <row r="2011" hidden="1" customHeight="1" spans="1:12">
      <c r="A2011" s="14" t="str">
        <f t="shared" si="38"/>
        <v>0x00000564</v>
      </c>
      <c r="B2011" s="15">
        <f>SUM_HEX(C2010:F2010,B2010,3)</f>
        <v>1380</v>
      </c>
      <c r="C2011" s="16" t="s">
        <v>23</v>
      </c>
      <c r="D2011" s="16"/>
      <c r="E2011" s="16"/>
      <c r="F2011" s="16"/>
      <c r="G2011" s="18" t="s">
        <v>15</v>
      </c>
      <c r="H2011" s="18"/>
      <c r="I2011" s="24" t="s">
        <v>521</v>
      </c>
      <c r="J2011" s="18"/>
      <c r="K2011" s="18" t="s">
        <v>520</v>
      </c>
      <c r="L2011" s="25"/>
    </row>
    <row r="2012" hidden="1" customHeight="1" spans="1:12">
      <c r="A2012" s="14" t="str">
        <f t="shared" si="38"/>
        <v>0x00000568</v>
      </c>
      <c r="B2012" s="15">
        <f>SUM_HEX(C2011:F2011,B2011,3)</f>
        <v>1384</v>
      </c>
      <c r="C2012" s="16" t="s">
        <v>23</v>
      </c>
      <c r="D2012" s="16"/>
      <c r="E2012" s="16"/>
      <c r="F2012" s="16"/>
      <c r="G2012" s="46" t="s">
        <v>157</v>
      </c>
      <c r="H2012" s="46" t="s">
        <v>212</v>
      </c>
      <c r="I2012" s="18" t="s">
        <v>522</v>
      </c>
      <c r="J2012" s="18"/>
      <c r="K2012" s="18"/>
      <c r="L2012" s="25"/>
    </row>
    <row r="2013" hidden="1" customHeight="1" spans="1:12">
      <c r="A2013" s="14" t="str">
        <f t="shared" si="38"/>
        <v>0x0000056C</v>
      </c>
      <c r="B2013" s="15">
        <f>SUM_HEX(C2012:F2012,B2012,3)</f>
        <v>1388</v>
      </c>
      <c r="C2013" s="16" t="s">
        <v>523</v>
      </c>
      <c r="D2013" s="16"/>
      <c r="E2013" s="16"/>
      <c r="F2013" s="16"/>
      <c r="G2013" s="47"/>
      <c r="H2013" s="47"/>
      <c r="I2013" s="18"/>
      <c r="J2013" s="18"/>
      <c r="K2013" s="18"/>
      <c r="L2013" s="25"/>
    </row>
    <row r="2014" hidden="1" customHeight="1" spans="1:12">
      <c r="A2014" s="14" t="str">
        <f t="shared" si="38"/>
        <v>0x00000570</v>
      </c>
      <c r="B2014" s="15">
        <f>SUM_HEX(C2013:F2013,B2013,3)</f>
        <v>1392</v>
      </c>
      <c r="C2014" s="16" t="s">
        <v>23</v>
      </c>
      <c r="D2014" s="16" t="s">
        <v>23</v>
      </c>
      <c r="E2014" s="16"/>
      <c r="F2014" s="16"/>
      <c r="G2014" s="47"/>
      <c r="H2014" s="47"/>
      <c r="I2014" s="18"/>
      <c r="J2014" s="18"/>
      <c r="K2014" s="18"/>
      <c r="L2014" s="25"/>
    </row>
    <row r="2015" hidden="1" customHeight="1" spans="1:12">
      <c r="A2015" s="14" t="str">
        <f t="shared" si="38"/>
        <v>0x00000578</v>
      </c>
      <c r="B2015" s="15">
        <f>SUM_HEX(C2014:F2014,B2014,3)</f>
        <v>1400</v>
      </c>
      <c r="C2015" s="16" t="s">
        <v>274</v>
      </c>
      <c r="D2015" s="16"/>
      <c r="E2015" s="16"/>
      <c r="F2015" s="16"/>
      <c r="G2015" s="48"/>
      <c r="H2015" s="48"/>
      <c r="I2015" s="18"/>
      <c r="J2015" s="18"/>
      <c r="K2015" s="18"/>
      <c r="L2015" s="25"/>
    </row>
    <row r="2016" hidden="1" customHeight="1" spans="1:12">
      <c r="A2016" s="14" t="str">
        <f t="shared" si="38"/>
        <v>0x0000057C</v>
      </c>
      <c r="B2016" s="15">
        <f>SUM_HEX(C2015:F2015,B2015,3)</f>
        <v>1404</v>
      </c>
      <c r="C2016" s="16" t="s">
        <v>23</v>
      </c>
      <c r="D2016" s="16"/>
      <c r="E2016" s="16"/>
      <c r="F2016" s="16"/>
      <c r="G2016" s="46" t="s">
        <v>157</v>
      </c>
      <c r="H2016" s="46" t="s">
        <v>212</v>
      </c>
      <c r="I2016" s="18" t="s">
        <v>524</v>
      </c>
      <c r="J2016" s="18"/>
      <c r="K2016" s="18"/>
      <c r="L2016" s="25"/>
    </row>
    <row r="2017" hidden="1" customHeight="1" spans="1:12">
      <c r="A2017" s="14" t="str">
        <f t="shared" si="38"/>
        <v>0x00000580</v>
      </c>
      <c r="B2017" s="15">
        <f>SUM_HEX(C2016:F2016,B2016,3)</f>
        <v>1408</v>
      </c>
      <c r="C2017" s="16" t="s">
        <v>525</v>
      </c>
      <c r="D2017" s="16"/>
      <c r="E2017" s="16"/>
      <c r="F2017" s="16"/>
      <c r="G2017" s="47"/>
      <c r="H2017" s="47"/>
      <c r="I2017" s="18"/>
      <c r="J2017" s="18"/>
      <c r="K2017" s="18"/>
      <c r="L2017" s="25"/>
    </row>
    <row r="2018" hidden="1" customHeight="1" spans="1:12">
      <c r="A2018" s="14" t="str">
        <f t="shared" si="38"/>
        <v>0x00000584</v>
      </c>
      <c r="B2018" s="15">
        <f>SUM_HEX(C2017:F2017,B2017,3)</f>
        <v>1412</v>
      </c>
      <c r="C2018" s="16" t="s">
        <v>148</v>
      </c>
      <c r="D2018" s="16" t="s">
        <v>23</v>
      </c>
      <c r="E2018" s="16"/>
      <c r="F2018" s="16"/>
      <c r="G2018" s="47"/>
      <c r="H2018" s="47"/>
      <c r="I2018" s="18"/>
      <c r="J2018" s="18"/>
      <c r="K2018" s="18"/>
      <c r="L2018" s="25"/>
    </row>
    <row r="2019" hidden="1" customHeight="1" spans="1:12">
      <c r="A2019" s="14" t="str">
        <f t="shared" si="38"/>
        <v>0x0000058C</v>
      </c>
      <c r="B2019" s="15">
        <f>SUM_HEX(C2018:F2018,B2018,3)</f>
        <v>1420</v>
      </c>
      <c r="C2019" s="16" t="s">
        <v>274</v>
      </c>
      <c r="D2019" s="16"/>
      <c r="E2019" s="16"/>
      <c r="F2019" s="16"/>
      <c r="G2019" s="48"/>
      <c r="H2019" s="48"/>
      <c r="I2019" s="18"/>
      <c r="J2019" s="18"/>
      <c r="K2019" s="18"/>
      <c r="L2019" s="25"/>
    </row>
    <row r="2020" hidden="1" customHeight="1" spans="1:12">
      <c r="A2020" s="14" t="str">
        <f t="shared" si="38"/>
        <v>0x00000590</v>
      </c>
      <c r="B2020" s="15">
        <f>SUM_HEX(C2019:F2019,B2019,3)</f>
        <v>1424</v>
      </c>
      <c r="C2020" s="16" t="s">
        <v>274</v>
      </c>
      <c r="D2020" s="16"/>
      <c r="E2020" s="16"/>
      <c r="F2020" s="16"/>
      <c r="G2020" s="18" t="s">
        <v>15</v>
      </c>
      <c r="H2020" s="18"/>
      <c r="I2020" s="24" t="s">
        <v>526</v>
      </c>
      <c r="J2020" s="18"/>
      <c r="K2020" s="18" t="s">
        <v>405</v>
      </c>
      <c r="L2020" s="25" t="s">
        <v>280</v>
      </c>
    </row>
    <row r="2021" hidden="1" customHeight="1" spans="1:12">
      <c r="A2021" s="14" t="str">
        <f t="shared" si="38"/>
        <v>0x00000594</v>
      </c>
      <c r="B2021" s="15">
        <f>SUM_HEX(C2020:F2020,B2020,3)</f>
        <v>1428</v>
      </c>
      <c r="C2021" s="16" t="s">
        <v>23</v>
      </c>
      <c r="D2021" s="16"/>
      <c r="E2021" s="16"/>
      <c r="F2021" s="16"/>
      <c r="G2021" s="18" t="s">
        <v>212</v>
      </c>
      <c r="H2021" s="18"/>
      <c r="I2021" s="24" t="s">
        <v>527</v>
      </c>
      <c r="J2021" s="18"/>
      <c r="K2021" s="18"/>
      <c r="L2021" s="25" t="s">
        <v>272</v>
      </c>
    </row>
    <row r="2022" hidden="1" customHeight="1" spans="1:12">
      <c r="A2022" s="14" t="str">
        <f t="shared" si="38"/>
        <v>0x00000598</v>
      </c>
      <c r="B2022" s="15">
        <f>SUM_HEX(C2021:F2021,B2021,3)</f>
        <v>1432</v>
      </c>
      <c r="C2022" s="16" t="s">
        <v>23</v>
      </c>
      <c r="D2022" s="16"/>
      <c r="E2022" s="16"/>
      <c r="F2022" s="16"/>
      <c r="G2022" s="46" t="s">
        <v>157</v>
      </c>
      <c r="H2022" s="46" t="s">
        <v>212</v>
      </c>
      <c r="I2022" s="18" t="s">
        <v>528</v>
      </c>
      <c r="J2022" s="18"/>
      <c r="K2022" s="18"/>
      <c r="L2022" s="25"/>
    </row>
    <row r="2023" hidden="1" customHeight="1" spans="1:12">
      <c r="A2023" s="14" t="str">
        <f t="shared" si="38"/>
        <v>0x0000059C</v>
      </c>
      <c r="B2023" s="15">
        <f>SUM_HEX(C2022:F2022,B2022,3)</f>
        <v>1436</v>
      </c>
      <c r="C2023" s="16" t="s">
        <v>529</v>
      </c>
      <c r="D2023" s="16"/>
      <c r="E2023" s="16"/>
      <c r="F2023" s="16"/>
      <c r="G2023" s="47"/>
      <c r="H2023" s="47"/>
      <c r="I2023" s="18"/>
      <c r="J2023" s="18"/>
      <c r="K2023" s="18"/>
      <c r="L2023" s="25"/>
    </row>
    <row r="2024" hidden="1" customHeight="1" spans="1:12">
      <c r="A2024" s="14" t="str">
        <f t="shared" si="38"/>
        <v>0x000005A0</v>
      </c>
      <c r="B2024" s="15">
        <f>SUM_HEX(C2023:F2023,B2023,3)</f>
        <v>1440</v>
      </c>
      <c r="C2024" s="16" t="s">
        <v>23</v>
      </c>
      <c r="D2024" s="16" t="s">
        <v>23</v>
      </c>
      <c r="E2024" s="16"/>
      <c r="F2024" s="16"/>
      <c r="G2024" s="47"/>
      <c r="H2024" s="47"/>
      <c r="I2024" s="18"/>
      <c r="J2024" s="18"/>
      <c r="K2024" s="18"/>
      <c r="L2024" s="25"/>
    </row>
    <row r="2025" hidden="1" customHeight="1" spans="1:12">
      <c r="A2025" s="14" t="str">
        <f t="shared" si="38"/>
        <v>0x000005A8</v>
      </c>
      <c r="B2025" s="15">
        <f>SUM_HEX(C2024:F2024,B2024,3)</f>
        <v>1448</v>
      </c>
      <c r="C2025" s="16" t="s">
        <v>274</v>
      </c>
      <c r="D2025" s="16"/>
      <c r="E2025" s="16"/>
      <c r="F2025" s="16"/>
      <c r="G2025" s="48"/>
      <c r="H2025" s="48"/>
      <c r="I2025" s="18"/>
      <c r="J2025" s="18"/>
      <c r="K2025" s="18"/>
      <c r="L2025" s="25"/>
    </row>
    <row r="2026" hidden="1" customHeight="1" spans="1:12">
      <c r="A2026" s="14" t="str">
        <f t="shared" si="38"/>
        <v>0x000005AC</v>
      </c>
      <c r="B2026" s="15">
        <f>SUM_HEX(C2025:F2025,B2025,3)</f>
        <v>1452</v>
      </c>
      <c r="C2026" s="16" t="s">
        <v>274</v>
      </c>
      <c r="D2026" s="16"/>
      <c r="E2026" s="16"/>
      <c r="F2026" s="16"/>
      <c r="G2026" s="18" t="s">
        <v>15</v>
      </c>
      <c r="H2026" s="18"/>
      <c r="I2026" s="24" t="s">
        <v>530</v>
      </c>
      <c r="J2026" s="18"/>
      <c r="K2026" s="18" t="s">
        <v>405</v>
      </c>
      <c r="L2026" s="25" t="s">
        <v>280</v>
      </c>
    </row>
    <row r="2027" hidden="1" customHeight="1" spans="1:12">
      <c r="A2027" s="14" t="str">
        <f t="shared" si="38"/>
        <v>0x000005B0</v>
      </c>
      <c r="B2027" s="15">
        <f>SUM_HEX(C2026:F2026,B2026,3)</f>
        <v>1456</v>
      </c>
      <c r="C2027" s="16" t="s">
        <v>23</v>
      </c>
      <c r="D2027" s="16"/>
      <c r="E2027" s="16"/>
      <c r="F2027" s="16"/>
      <c r="G2027" s="18" t="s">
        <v>212</v>
      </c>
      <c r="H2027" s="18"/>
      <c r="I2027" s="24" t="s">
        <v>531</v>
      </c>
      <c r="J2027" s="18"/>
      <c r="K2027" s="18"/>
      <c r="L2027" s="25" t="s">
        <v>272</v>
      </c>
    </row>
    <row r="2028" hidden="1" customHeight="1" spans="1:12">
      <c r="A2028" s="14" t="str">
        <f t="shared" si="38"/>
        <v>0x000005B4</v>
      </c>
      <c r="B2028" s="15">
        <f>SUM_HEX(C2027:F2027,B2027,3)</f>
        <v>1460</v>
      </c>
      <c r="C2028" s="16" t="s">
        <v>23</v>
      </c>
      <c r="D2028" s="16" t="s">
        <v>23</v>
      </c>
      <c r="E2028" s="16" t="s">
        <v>23</v>
      </c>
      <c r="F2028" s="16"/>
      <c r="G2028" s="18" t="s">
        <v>24</v>
      </c>
      <c r="H2028" s="18" t="s">
        <v>538</v>
      </c>
      <c r="I2028" s="24" t="s">
        <v>533</v>
      </c>
      <c r="J2028" s="18"/>
      <c r="K2028" s="18"/>
      <c r="L2028" s="25"/>
    </row>
    <row r="2029" hidden="1" customHeight="1" spans="1:12">
      <c r="A2029" s="14" t="str">
        <f t="shared" si="38"/>
        <v>0x000005C0</v>
      </c>
      <c r="B2029" s="15">
        <f>SUM_HEX(C2028:F2028,B2028,3)</f>
        <v>1472</v>
      </c>
      <c r="C2029" s="16" t="s">
        <v>23</v>
      </c>
      <c r="D2029" s="16" t="s">
        <v>23</v>
      </c>
      <c r="E2029" s="16" t="s">
        <v>23</v>
      </c>
      <c r="F2029" s="16"/>
      <c r="G2029" s="18"/>
      <c r="H2029" s="18"/>
      <c r="I2029" s="24"/>
      <c r="J2029" s="18"/>
      <c r="K2029" s="18"/>
      <c r="L2029" s="25"/>
    </row>
    <row r="2030" customHeight="1" spans="1:12">
      <c r="A2030" s="14" t="str">
        <f t="shared" si="38"/>
        <v>0x000005CC</v>
      </c>
      <c r="B2030" s="15">
        <f>SUM_HEX(C2029:F2029,B2029,3)</f>
        <v>1484</v>
      </c>
      <c r="C2030" s="51" t="s">
        <v>23</v>
      </c>
      <c r="D2030" s="51"/>
      <c r="E2030" s="51"/>
      <c r="F2030" s="51"/>
      <c r="G2030" s="52"/>
      <c r="H2030" s="52"/>
      <c r="I2030" s="57"/>
      <c r="J2030" s="52"/>
      <c r="K2030" s="52"/>
      <c r="L2030" s="51"/>
    </row>
    <row r="2031" customHeight="1" spans="1:12">
      <c r="A2031" s="14" t="str">
        <f t="shared" si="38"/>
        <v>0x000005CC</v>
      </c>
      <c r="B2031" s="15">
        <f>SUM_HEX(C2030:F2030,B2030,3)</f>
        <v>1484</v>
      </c>
      <c r="C2031" s="51" t="s">
        <v>274</v>
      </c>
      <c r="D2031" s="51"/>
      <c r="E2031" s="51"/>
      <c r="F2031" s="51"/>
      <c r="G2031" s="52"/>
      <c r="H2031" s="52"/>
      <c r="I2031" s="57"/>
      <c r="J2031" s="52"/>
      <c r="K2031" s="52"/>
      <c r="L2031" s="51"/>
    </row>
    <row r="2033" customHeight="1" spans="1:3">
      <c r="A2033" s="7" t="s">
        <v>136</v>
      </c>
      <c r="B2033" s="8" t="s">
        <v>27</v>
      </c>
      <c r="C2033" s="9" t="s">
        <v>543</v>
      </c>
    </row>
    <row r="2034" customHeight="1" spans="1:12">
      <c r="A2034" s="10" t="s">
        <v>2</v>
      </c>
      <c r="B2034" s="11"/>
      <c r="C2034" s="12" t="s">
        <v>3</v>
      </c>
      <c r="D2034" s="12"/>
      <c r="E2034" s="12"/>
      <c r="F2034" s="12"/>
      <c r="G2034" s="13" t="s">
        <v>4</v>
      </c>
      <c r="H2034" s="13"/>
      <c r="I2034" s="20" t="s">
        <v>5</v>
      </c>
      <c r="J2034" s="13" t="s">
        <v>6</v>
      </c>
      <c r="K2034" s="13" t="s">
        <v>7</v>
      </c>
      <c r="L2034" s="21" t="s">
        <v>8</v>
      </c>
    </row>
    <row r="2035" customHeight="1" spans="1:12">
      <c r="A2035" s="14" t="str">
        <f t="shared" ref="A2035:A2037" si="39">"0x"&amp;DEC2HEX(B2035,8)</f>
        <v>0x00000000</v>
      </c>
      <c r="B2035" s="15">
        <f>0</f>
        <v>0</v>
      </c>
      <c r="C2035" s="16" t="s">
        <v>29</v>
      </c>
      <c r="D2035" s="16"/>
      <c r="E2035" s="16"/>
      <c r="F2035" s="16"/>
      <c r="G2035" s="18" t="s">
        <v>15</v>
      </c>
      <c r="H2035" s="18"/>
      <c r="I2035" s="24" t="s">
        <v>279</v>
      </c>
      <c r="J2035" s="18"/>
      <c r="K2035" s="18" t="s">
        <v>21</v>
      </c>
      <c r="L2035" s="25" t="s">
        <v>280</v>
      </c>
    </row>
    <row r="2036" customHeight="1" spans="1:12">
      <c r="A2036" s="14" t="str">
        <f t="shared" si="39"/>
        <v>0x00000004</v>
      </c>
      <c r="B2036" s="15">
        <f>SUM_HEX(C2035:F2035,B2035,3)</f>
        <v>4</v>
      </c>
      <c r="C2036" s="16" t="s">
        <v>22</v>
      </c>
      <c r="D2036" s="16"/>
      <c r="E2036" s="16"/>
      <c r="F2036" s="16"/>
      <c r="G2036" s="18" t="s">
        <v>15</v>
      </c>
      <c r="H2036" s="18"/>
      <c r="I2036" s="24" t="s">
        <v>281</v>
      </c>
      <c r="J2036" s="18"/>
      <c r="K2036" s="18" t="s">
        <v>21</v>
      </c>
      <c r="L2036" s="25" t="s">
        <v>280</v>
      </c>
    </row>
    <row r="2037" customHeight="1" spans="1:12">
      <c r="A2037" s="14" t="str">
        <f t="shared" si="39"/>
        <v>0x00000008</v>
      </c>
      <c r="B2037" s="15">
        <f>SUM_HEX(C2036:F2036,B2036,3)</f>
        <v>8</v>
      </c>
      <c r="C2037" s="16" t="s">
        <v>282</v>
      </c>
      <c r="D2037" s="16"/>
      <c r="E2037" s="16"/>
      <c r="F2037" s="16"/>
      <c r="G2037" s="18" t="s">
        <v>33</v>
      </c>
      <c r="H2037" s="18" t="s">
        <v>54</v>
      </c>
      <c r="I2037" s="24" t="s">
        <v>283</v>
      </c>
      <c r="J2037" s="24" t="s">
        <v>284</v>
      </c>
      <c r="K2037" s="18"/>
      <c r="L2037" s="25"/>
    </row>
    <row r="2038" customHeight="1" spans="1:12">
      <c r="A2038" s="14"/>
      <c r="B2038" s="15"/>
      <c r="C2038" s="16"/>
      <c r="D2038" s="16"/>
      <c r="E2038" s="16"/>
      <c r="F2038" s="16"/>
      <c r="G2038" s="18"/>
      <c r="H2038" s="18" t="s">
        <v>57</v>
      </c>
      <c r="I2038" s="24"/>
      <c r="J2038" s="24" t="s">
        <v>285</v>
      </c>
      <c r="K2038" s="18"/>
      <c r="L2038" s="25"/>
    </row>
    <row r="2039" customHeight="1" spans="1:12">
      <c r="A2039" s="14"/>
      <c r="B2039" s="15"/>
      <c r="C2039" s="16"/>
      <c r="D2039" s="16"/>
      <c r="E2039" s="16"/>
      <c r="F2039" s="16"/>
      <c r="G2039" s="18"/>
      <c r="H2039" s="18" t="s">
        <v>58</v>
      </c>
      <c r="I2039" s="24"/>
      <c r="J2039" s="24" t="s">
        <v>286</v>
      </c>
      <c r="K2039" s="18"/>
      <c r="L2039" s="25"/>
    </row>
    <row r="2040" customHeight="1" spans="1:12">
      <c r="A2040" s="14"/>
      <c r="B2040" s="15"/>
      <c r="C2040" s="16"/>
      <c r="D2040" s="16"/>
      <c r="E2040" s="16"/>
      <c r="F2040" s="16"/>
      <c r="G2040" s="18"/>
      <c r="H2040" s="18" t="s">
        <v>59</v>
      </c>
      <c r="I2040" s="24"/>
      <c r="J2040" s="24" t="s">
        <v>287</v>
      </c>
      <c r="K2040" s="18"/>
      <c r="L2040" s="25"/>
    </row>
    <row r="2041" customHeight="1" spans="1:12">
      <c r="A2041" s="14" t="str">
        <f t="shared" ref="A2041:A2104" si="40">"0x"&amp;DEC2HEX(B2041,8)</f>
        <v>0x0000000C</v>
      </c>
      <c r="B2041" s="15">
        <f>SUM_HEX(C2037:F2040,B2037,3)</f>
        <v>12</v>
      </c>
      <c r="C2041" s="26" t="s">
        <v>23</v>
      </c>
      <c r="D2041" s="16"/>
      <c r="E2041" s="16"/>
      <c r="F2041" s="16"/>
      <c r="G2041" s="46" t="s">
        <v>157</v>
      </c>
      <c r="H2041" s="46" t="s">
        <v>212</v>
      </c>
      <c r="I2041" s="24" t="s">
        <v>288</v>
      </c>
      <c r="J2041" s="18"/>
      <c r="K2041" s="18" t="s">
        <v>289</v>
      </c>
      <c r="L2041" s="25" t="s">
        <v>272</v>
      </c>
    </row>
    <row r="2042" customHeight="1" spans="1:12">
      <c r="A2042" s="14" t="str">
        <f t="shared" si="40"/>
        <v>0x00000010</v>
      </c>
      <c r="B2042" s="15">
        <f>SUM_HEX(C2041:F2041,B2041,3)</f>
        <v>16</v>
      </c>
      <c r="C2042" s="16" t="s">
        <v>290</v>
      </c>
      <c r="D2042" s="16"/>
      <c r="E2042" s="16"/>
      <c r="F2042" s="16"/>
      <c r="G2042" s="47"/>
      <c r="H2042" s="47"/>
      <c r="I2042" s="24"/>
      <c r="J2042" s="18"/>
      <c r="K2042" s="18"/>
      <c r="L2042" s="25"/>
    </row>
    <row r="2043" customHeight="1" spans="1:12">
      <c r="A2043" s="14" t="str">
        <f t="shared" si="40"/>
        <v>0x00000014</v>
      </c>
      <c r="B2043" s="15">
        <f>SUM_HEX(C2042:F2042,B2042,3)</f>
        <v>20</v>
      </c>
      <c r="C2043" s="16" t="s">
        <v>148</v>
      </c>
      <c r="D2043" s="16" t="s">
        <v>23</v>
      </c>
      <c r="E2043" s="16"/>
      <c r="F2043" s="16"/>
      <c r="G2043" s="47"/>
      <c r="H2043" s="47"/>
      <c r="I2043" s="24"/>
      <c r="J2043" s="18"/>
      <c r="K2043" s="18"/>
      <c r="L2043" s="25"/>
    </row>
    <row r="2044" customHeight="1" spans="1:12">
      <c r="A2044" s="14" t="str">
        <f t="shared" si="40"/>
        <v>0x0000001C</v>
      </c>
      <c r="B2044" s="15">
        <f>SUM_HEX(C2043:F2043,B2043,3)</f>
        <v>28</v>
      </c>
      <c r="C2044" s="16" t="s">
        <v>274</v>
      </c>
      <c r="D2044" s="16"/>
      <c r="E2044" s="16"/>
      <c r="F2044" s="16"/>
      <c r="G2044" s="48"/>
      <c r="H2044" s="48"/>
      <c r="I2044" s="24"/>
      <c r="J2044" s="18"/>
      <c r="K2044" s="18"/>
      <c r="L2044" s="25"/>
    </row>
    <row r="2045" customHeight="1" spans="1:12">
      <c r="A2045" s="14" t="str">
        <f t="shared" si="40"/>
        <v>0x00000020</v>
      </c>
      <c r="B2045" s="15">
        <f>SUM_HEX(C2044:F2044,B2044,3)</f>
        <v>32</v>
      </c>
      <c r="C2045" s="16" t="s">
        <v>23</v>
      </c>
      <c r="D2045" s="16"/>
      <c r="E2045" s="16"/>
      <c r="F2045" s="16"/>
      <c r="G2045" s="46" t="s">
        <v>157</v>
      </c>
      <c r="H2045" s="46" t="s">
        <v>212</v>
      </c>
      <c r="I2045" s="24" t="s">
        <v>291</v>
      </c>
      <c r="J2045" s="18"/>
      <c r="K2045" s="18" t="s">
        <v>289</v>
      </c>
      <c r="L2045" s="25" t="s">
        <v>272</v>
      </c>
    </row>
    <row r="2046" customHeight="1" spans="1:12">
      <c r="A2046" s="14" t="str">
        <f t="shared" si="40"/>
        <v>0x00000024</v>
      </c>
      <c r="B2046" s="15">
        <f>SUM_HEX(C2045:F2045,B2045,3)</f>
        <v>36</v>
      </c>
      <c r="C2046" s="16" t="s">
        <v>292</v>
      </c>
      <c r="D2046" s="16"/>
      <c r="E2046" s="16"/>
      <c r="F2046" s="16"/>
      <c r="G2046" s="47"/>
      <c r="H2046" s="47"/>
      <c r="I2046" s="24"/>
      <c r="J2046" s="18"/>
      <c r="K2046" s="18"/>
      <c r="L2046" s="25"/>
    </row>
    <row r="2047" customHeight="1" spans="1:12">
      <c r="A2047" s="14" t="str">
        <f t="shared" si="40"/>
        <v>0x00000028</v>
      </c>
      <c r="B2047" s="15">
        <f>SUM_HEX(C2046:F2046,B2046,3)</f>
        <v>40</v>
      </c>
      <c r="C2047" s="16" t="s">
        <v>148</v>
      </c>
      <c r="D2047" s="16" t="s">
        <v>23</v>
      </c>
      <c r="E2047" s="16"/>
      <c r="F2047" s="16"/>
      <c r="G2047" s="47"/>
      <c r="H2047" s="47"/>
      <c r="I2047" s="24"/>
      <c r="J2047" s="18"/>
      <c r="K2047" s="18"/>
      <c r="L2047" s="25"/>
    </row>
    <row r="2048" customHeight="1" spans="1:12">
      <c r="A2048" s="14" t="str">
        <f t="shared" si="40"/>
        <v>0x00000030</v>
      </c>
      <c r="B2048" s="15">
        <f>SUM_HEX(C2047:F2047,B2047,3)</f>
        <v>48</v>
      </c>
      <c r="C2048" s="16" t="s">
        <v>274</v>
      </c>
      <c r="D2048" s="16"/>
      <c r="E2048" s="16"/>
      <c r="F2048" s="16"/>
      <c r="G2048" s="48"/>
      <c r="H2048" s="48"/>
      <c r="I2048" s="24"/>
      <c r="J2048" s="18"/>
      <c r="K2048" s="18"/>
      <c r="L2048" s="25"/>
    </row>
    <row r="2049" customHeight="1" spans="1:12">
      <c r="A2049" s="14" t="str">
        <f t="shared" si="40"/>
        <v>0x00000034</v>
      </c>
      <c r="B2049" s="15">
        <f>SUM_HEX(C2048:F2048,B2048,3)</f>
        <v>52</v>
      </c>
      <c r="C2049" s="16" t="s">
        <v>23</v>
      </c>
      <c r="D2049" s="16"/>
      <c r="E2049" s="16"/>
      <c r="F2049" s="16"/>
      <c r="G2049" s="46" t="s">
        <v>157</v>
      </c>
      <c r="H2049" s="46" t="s">
        <v>212</v>
      </c>
      <c r="I2049" s="24" t="s">
        <v>293</v>
      </c>
      <c r="J2049" s="18"/>
      <c r="K2049" s="18" t="s">
        <v>294</v>
      </c>
      <c r="L2049" s="25"/>
    </row>
    <row r="2050" customHeight="1" spans="1:12">
      <c r="A2050" s="14" t="str">
        <f t="shared" si="40"/>
        <v>0x00000038</v>
      </c>
      <c r="B2050" s="15">
        <f>SUM_HEX(C2049:F2049,B2049,3)</f>
        <v>56</v>
      </c>
      <c r="C2050" s="16" t="s">
        <v>295</v>
      </c>
      <c r="D2050" s="16"/>
      <c r="E2050" s="16"/>
      <c r="F2050" s="16"/>
      <c r="G2050" s="47"/>
      <c r="H2050" s="47"/>
      <c r="I2050" s="24"/>
      <c r="J2050" s="18"/>
      <c r="K2050" s="18"/>
      <c r="L2050" s="25"/>
    </row>
    <row r="2051" customHeight="1" spans="1:12">
      <c r="A2051" s="14" t="str">
        <f t="shared" si="40"/>
        <v>0x0000003C</v>
      </c>
      <c r="B2051" s="15">
        <f>SUM_HEX(C2050:F2050,B2050,3)</f>
        <v>60</v>
      </c>
      <c r="C2051" s="16" t="s">
        <v>23</v>
      </c>
      <c r="D2051" s="16" t="s">
        <v>23</v>
      </c>
      <c r="E2051" s="16"/>
      <c r="F2051" s="16"/>
      <c r="G2051" s="47"/>
      <c r="H2051" s="47"/>
      <c r="I2051" s="24"/>
      <c r="J2051" s="18"/>
      <c r="K2051" s="18"/>
      <c r="L2051" s="25"/>
    </row>
    <row r="2052" customHeight="1" spans="1:12">
      <c r="A2052" s="14" t="str">
        <f t="shared" si="40"/>
        <v>0x00000044</v>
      </c>
      <c r="B2052" s="15">
        <f>SUM_HEX(C2051:F2051,B2051,3)</f>
        <v>68</v>
      </c>
      <c r="C2052" s="16" t="s">
        <v>274</v>
      </c>
      <c r="D2052" s="16"/>
      <c r="E2052" s="16"/>
      <c r="F2052" s="16"/>
      <c r="G2052" s="48"/>
      <c r="H2052" s="48"/>
      <c r="I2052" s="24"/>
      <c r="J2052" s="18"/>
      <c r="K2052" s="18"/>
      <c r="L2052" s="25"/>
    </row>
    <row r="2053" customHeight="1" spans="1:12">
      <c r="A2053" s="14" t="str">
        <f t="shared" si="40"/>
        <v>0x00000048</v>
      </c>
      <c r="B2053" s="15">
        <f>SUM_HEX(C2052:F2052,B2052,3)</f>
        <v>72</v>
      </c>
      <c r="C2053" s="16" t="s">
        <v>23</v>
      </c>
      <c r="D2053" s="16"/>
      <c r="E2053" s="16"/>
      <c r="F2053" s="16"/>
      <c r="G2053" s="46" t="s">
        <v>157</v>
      </c>
      <c r="H2053" s="46" t="s">
        <v>212</v>
      </c>
      <c r="I2053" s="24" t="s">
        <v>296</v>
      </c>
      <c r="J2053" s="18"/>
      <c r="K2053" s="18" t="s">
        <v>294</v>
      </c>
      <c r="L2053" s="25"/>
    </row>
    <row r="2054" customHeight="1" spans="1:12">
      <c r="A2054" s="14" t="str">
        <f t="shared" si="40"/>
        <v>0x0000004C</v>
      </c>
      <c r="B2054" s="15">
        <f>SUM_HEX(C2053:F2053,B2053,3)</f>
        <v>76</v>
      </c>
      <c r="C2054" s="16" t="s">
        <v>297</v>
      </c>
      <c r="D2054" s="16"/>
      <c r="E2054" s="16"/>
      <c r="F2054" s="16"/>
      <c r="G2054" s="47"/>
      <c r="H2054" s="47"/>
      <c r="I2054" s="24"/>
      <c r="J2054" s="18"/>
      <c r="K2054" s="18"/>
      <c r="L2054" s="25"/>
    </row>
    <row r="2055" customHeight="1" spans="1:12">
      <c r="A2055" s="14" t="str">
        <f t="shared" si="40"/>
        <v>0x00000050</v>
      </c>
      <c r="B2055" s="15">
        <f>SUM_HEX(C2054:F2054,B2054,3)</f>
        <v>80</v>
      </c>
      <c r="C2055" s="16" t="s">
        <v>23</v>
      </c>
      <c r="D2055" s="16" t="s">
        <v>23</v>
      </c>
      <c r="E2055" s="16"/>
      <c r="F2055" s="16"/>
      <c r="G2055" s="47"/>
      <c r="H2055" s="47"/>
      <c r="I2055" s="24"/>
      <c r="J2055" s="18"/>
      <c r="K2055" s="18"/>
      <c r="L2055" s="25"/>
    </row>
    <row r="2056" customHeight="1" spans="1:12">
      <c r="A2056" s="14" t="str">
        <f t="shared" si="40"/>
        <v>0x00000058</v>
      </c>
      <c r="B2056" s="15">
        <f>SUM_HEX(C2055:F2055,B2055,3)</f>
        <v>88</v>
      </c>
      <c r="C2056" s="16" t="s">
        <v>274</v>
      </c>
      <c r="D2056" s="16"/>
      <c r="E2056" s="16"/>
      <c r="F2056" s="16"/>
      <c r="G2056" s="48"/>
      <c r="H2056" s="48"/>
      <c r="I2056" s="24"/>
      <c r="J2056" s="18"/>
      <c r="K2056" s="18"/>
      <c r="L2056" s="25"/>
    </row>
    <row r="2057" customHeight="1" spans="1:12">
      <c r="A2057" s="14" t="str">
        <f t="shared" si="40"/>
        <v>0x0000005C</v>
      </c>
      <c r="B2057" s="15">
        <f>SUM_HEX(C2056:F2056,B2056,3)</f>
        <v>92</v>
      </c>
      <c r="C2057" s="16" t="s">
        <v>23</v>
      </c>
      <c r="D2057" s="16"/>
      <c r="E2057" s="16"/>
      <c r="F2057" s="16"/>
      <c r="G2057" s="46" t="s">
        <v>157</v>
      </c>
      <c r="H2057" s="46" t="s">
        <v>212</v>
      </c>
      <c r="I2057" s="24" t="s">
        <v>298</v>
      </c>
      <c r="J2057" s="18"/>
      <c r="K2057" s="18" t="s">
        <v>299</v>
      </c>
      <c r="L2057" s="25" t="s">
        <v>300</v>
      </c>
    </row>
    <row r="2058" customHeight="1" spans="1:12">
      <c r="A2058" s="14" t="str">
        <f t="shared" si="40"/>
        <v>0x00000060</v>
      </c>
      <c r="B2058" s="15">
        <f>SUM_HEX(C2057:F2057,B2057,3)</f>
        <v>96</v>
      </c>
      <c r="C2058" s="16" t="s">
        <v>301</v>
      </c>
      <c r="D2058" s="16"/>
      <c r="E2058" s="16"/>
      <c r="F2058" s="16"/>
      <c r="G2058" s="47"/>
      <c r="H2058" s="47"/>
      <c r="I2058" s="24"/>
      <c r="J2058" s="18"/>
      <c r="K2058" s="18"/>
      <c r="L2058" s="25"/>
    </row>
    <row r="2059" customHeight="1" spans="1:12">
      <c r="A2059" s="14" t="str">
        <f t="shared" si="40"/>
        <v>0x00000064</v>
      </c>
      <c r="B2059" s="15">
        <f>SUM_HEX(C2058:F2058,B2058,3)</f>
        <v>100</v>
      </c>
      <c r="C2059" s="16" t="s">
        <v>23</v>
      </c>
      <c r="D2059" s="16" t="s">
        <v>23</v>
      </c>
      <c r="E2059" s="16"/>
      <c r="F2059" s="16"/>
      <c r="G2059" s="47"/>
      <c r="H2059" s="47"/>
      <c r="I2059" s="24"/>
      <c r="J2059" s="18"/>
      <c r="K2059" s="18"/>
      <c r="L2059" s="25"/>
    </row>
    <row r="2060" customHeight="1" spans="1:12">
      <c r="A2060" s="14" t="str">
        <f t="shared" si="40"/>
        <v>0x0000006C</v>
      </c>
      <c r="B2060" s="15">
        <f>SUM_HEX(C2059:F2059,B2059,3)</f>
        <v>108</v>
      </c>
      <c r="C2060" s="16" t="s">
        <v>274</v>
      </c>
      <c r="D2060" s="16"/>
      <c r="E2060" s="16"/>
      <c r="F2060" s="16"/>
      <c r="G2060" s="48"/>
      <c r="H2060" s="48"/>
      <c r="I2060" s="24"/>
      <c r="J2060" s="18"/>
      <c r="K2060" s="18"/>
      <c r="L2060" s="25"/>
    </row>
    <row r="2061" customHeight="1" spans="1:12">
      <c r="A2061" s="14" t="str">
        <f t="shared" si="40"/>
        <v>0x00000070</v>
      </c>
      <c r="B2061" s="15">
        <f>SUM_HEX(C2060:F2060,B2060,3)</f>
        <v>112</v>
      </c>
      <c r="C2061" s="16" t="s">
        <v>23</v>
      </c>
      <c r="D2061" s="16"/>
      <c r="E2061" s="16"/>
      <c r="F2061" s="16"/>
      <c r="G2061" s="46" t="s">
        <v>157</v>
      </c>
      <c r="H2061" s="46" t="s">
        <v>212</v>
      </c>
      <c r="I2061" s="24" t="s">
        <v>302</v>
      </c>
      <c r="J2061" s="18"/>
      <c r="K2061" s="18" t="s">
        <v>299</v>
      </c>
      <c r="L2061" s="25" t="s">
        <v>300</v>
      </c>
    </row>
    <row r="2062" customHeight="1" spans="1:12">
      <c r="A2062" s="14" t="str">
        <f t="shared" si="40"/>
        <v>0x00000074</v>
      </c>
      <c r="B2062" s="15">
        <f>SUM_HEX(C2061:F2061,B2061,3)</f>
        <v>116</v>
      </c>
      <c r="C2062" s="16" t="s">
        <v>303</v>
      </c>
      <c r="D2062" s="16"/>
      <c r="E2062" s="16"/>
      <c r="F2062" s="16"/>
      <c r="G2062" s="47"/>
      <c r="H2062" s="47"/>
      <c r="I2062" s="24"/>
      <c r="J2062" s="18"/>
      <c r="K2062" s="18"/>
      <c r="L2062" s="25"/>
    </row>
    <row r="2063" customHeight="1" spans="1:12">
      <c r="A2063" s="14" t="str">
        <f t="shared" si="40"/>
        <v>0x00000078</v>
      </c>
      <c r="B2063" s="15">
        <f>SUM_HEX(C2062:F2062,B2062,3)</f>
        <v>120</v>
      </c>
      <c r="C2063" s="16" t="s">
        <v>23</v>
      </c>
      <c r="D2063" s="16" t="s">
        <v>23</v>
      </c>
      <c r="E2063" s="16"/>
      <c r="F2063" s="16"/>
      <c r="G2063" s="47"/>
      <c r="H2063" s="47"/>
      <c r="I2063" s="24"/>
      <c r="J2063" s="18"/>
      <c r="K2063" s="18"/>
      <c r="L2063" s="25"/>
    </row>
    <row r="2064" customHeight="1" spans="1:12">
      <c r="A2064" s="14" t="str">
        <f t="shared" si="40"/>
        <v>0x00000080</v>
      </c>
      <c r="B2064" s="15">
        <f>SUM_HEX(C2063:F2063,B2063,3)</f>
        <v>128</v>
      </c>
      <c r="C2064" s="16" t="s">
        <v>274</v>
      </c>
      <c r="D2064" s="16"/>
      <c r="E2064" s="16"/>
      <c r="F2064" s="16"/>
      <c r="G2064" s="48"/>
      <c r="H2064" s="48"/>
      <c r="I2064" s="24"/>
      <c r="J2064" s="18"/>
      <c r="K2064" s="18"/>
      <c r="L2064" s="25"/>
    </row>
    <row r="2065" customHeight="1" spans="1:12">
      <c r="A2065" s="14" t="str">
        <f t="shared" si="40"/>
        <v>0x00000084</v>
      </c>
      <c r="B2065" s="15">
        <f>SUM_HEX(C2064:F2064,B2064,3)</f>
        <v>132</v>
      </c>
      <c r="C2065" s="16" t="s">
        <v>23</v>
      </c>
      <c r="D2065" s="16"/>
      <c r="E2065" s="16"/>
      <c r="F2065" s="16"/>
      <c r="G2065" s="46" t="s">
        <v>157</v>
      </c>
      <c r="H2065" s="46" t="s">
        <v>212</v>
      </c>
      <c r="I2065" s="24" t="s">
        <v>304</v>
      </c>
      <c r="J2065" s="18"/>
      <c r="K2065" s="18" t="s">
        <v>305</v>
      </c>
      <c r="L2065" s="25"/>
    </row>
    <row r="2066" customHeight="1" spans="1:12">
      <c r="A2066" s="14" t="str">
        <f t="shared" si="40"/>
        <v>0x00000088</v>
      </c>
      <c r="B2066" s="15">
        <f>SUM_HEX(C2065:F2065,B2065,3)</f>
        <v>136</v>
      </c>
      <c r="C2066" s="16" t="s">
        <v>306</v>
      </c>
      <c r="D2066" s="16"/>
      <c r="E2066" s="16"/>
      <c r="F2066" s="16"/>
      <c r="G2066" s="47"/>
      <c r="H2066" s="47"/>
      <c r="I2066" s="24"/>
      <c r="J2066" s="18"/>
      <c r="K2066" s="18"/>
      <c r="L2066" s="25"/>
    </row>
    <row r="2067" customHeight="1" spans="1:12">
      <c r="A2067" s="14" t="str">
        <f t="shared" si="40"/>
        <v>0x0000008C</v>
      </c>
      <c r="B2067" s="15">
        <f>SUM_HEX(C2066:F2066,B2066,3)</f>
        <v>140</v>
      </c>
      <c r="C2067" s="16" t="s">
        <v>307</v>
      </c>
      <c r="D2067" s="16" t="s">
        <v>23</v>
      </c>
      <c r="E2067" s="16"/>
      <c r="F2067" s="16"/>
      <c r="G2067" s="47"/>
      <c r="H2067" s="47"/>
      <c r="I2067" s="24"/>
      <c r="J2067" s="18"/>
      <c r="K2067" s="18"/>
      <c r="L2067" s="25"/>
    </row>
    <row r="2068" customHeight="1" spans="1:12">
      <c r="A2068" s="14" t="str">
        <f t="shared" si="40"/>
        <v>0x00000094</v>
      </c>
      <c r="B2068" s="15">
        <f>SUM_HEX(C2067:F2067,B2067,3)</f>
        <v>148</v>
      </c>
      <c r="C2068" s="16" t="s">
        <v>274</v>
      </c>
      <c r="D2068" s="16"/>
      <c r="E2068" s="16"/>
      <c r="F2068" s="16"/>
      <c r="G2068" s="48"/>
      <c r="H2068" s="48"/>
      <c r="I2068" s="24"/>
      <c r="J2068" s="18"/>
      <c r="K2068" s="18"/>
      <c r="L2068" s="25"/>
    </row>
    <row r="2069" customHeight="1" spans="1:12">
      <c r="A2069" s="14" t="str">
        <f t="shared" si="40"/>
        <v>0x00000098</v>
      </c>
      <c r="B2069" s="15">
        <f>SUM_HEX(C2068:F2068,B2068,3)</f>
        <v>152</v>
      </c>
      <c r="C2069" s="16" t="s">
        <v>23</v>
      </c>
      <c r="D2069" s="16"/>
      <c r="E2069" s="16"/>
      <c r="F2069" s="16"/>
      <c r="G2069" s="46" t="s">
        <v>157</v>
      </c>
      <c r="H2069" s="46" t="s">
        <v>212</v>
      </c>
      <c r="I2069" s="24" t="s">
        <v>308</v>
      </c>
      <c r="J2069" s="18"/>
      <c r="K2069" s="18" t="s">
        <v>305</v>
      </c>
      <c r="L2069" s="25"/>
    </row>
    <row r="2070" customHeight="1" spans="1:12">
      <c r="A2070" s="14" t="str">
        <f t="shared" si="40"/>
        <v>0x0000009C</v>
      </c>
      <c r="B2070" s="15">
        <f>SUM_HEX(C2069:F2069,B2069,3)</f>
        <v>156</v>
      </c>
      <c r="C2070" s="16" t="s">
        <v>309</v>
      </c>
      <c r="D2070" s="16"/>
      <c r="E2070" s="16"/>
      <c r="F2070" s="16"/>
      <c r="G2070" s="47"/>
      <c r="H2070" s="47"/>
      <c r="I2070" s="24"/>
      <c r="J2070" s="18"/>
      <c r="K2070" s="18"/>
      <c r="L2070" s="25"/>
    </row>
    <row r="2071" customHeight="1" spans="1:12">
      <c r="A2071" s="14" t="str">
        <f t="shared" si="40"/>
        <v>0x000000A0</v>
      </c>
      <c r="B2071" s="15">
        <f>SUM_HEX(C2070:F2070,B2070,3)</f>
        <v>160</v>
      </c>
      <c r="C2071" s="16" t="s">
        <v>307</v>
      </c>
      <c r="D2071" s="16" t="s">
        <v>23</v>
      </c>
      <c r="E2071" s="16"/>
      <c r="F2071" s="16"/>
      <c r="G2071" s="47"/>
      <c r="H2071" s="47"/>
      <c r="I2071" s="24"/>
      <c r="J2071" s="18"/>
      <c r="K2071" s="18"/>
      <c r="L2071" s="25"/>
    </row>
    <row r="2072" customHeight="1" spans="1:12">
      <c r="A2072" s="14" t="str">
        <f t="shared" si="40"/>
        <v>0x000000A8</v>
      </c>
      <c r="B2072" s="15">
        <f>SUM_HEX(C2071:F2071,B2071,3)</f>
        <v>168</v>
      </c>
      <c r="C2072" s="16" t="s">
        <v>274</v>
      </c>
      <c r="D2072" s="16"/>
      <c r="E2072" s="16"/>
      <c r="F2072" s="16"/>
      <c r="G2072" s="48"/>
      <c r="H2072" s="48"/>
      <c r="I2072" s="24"/>
      <c r="J2072" s="18"/>
      <c r="K2072" s="18"/>
      <c r="L2072" s="25"/>
    </row>
    <row r="2073" customHeight="1" spans="1:12">
      <c r="A2073" s="14" t="str">
        <f t="shared" si="40"/>
        <v>0x000000AC</v>
      </c>
      <c r="B2073" s="15">
        <f>SUM_HEX(C2072:F2072,B2072,3)</f>
        <v>172</v>
      </c>
      <c r="C2073" s="16" t="s">
        <v>23</v>
      </c>
      <c r="D2073" s="16"/>
      <c r="E2073" s="16"/>
      <c r="F2073" s="16"/>
      <c r="G2073" s="18" t="s">
        <v>212</v>
      </c>
      <c r="H2073" s="18"/>
      <c r="I2073" s="24" t="s">
        <v>310</v>
      </c>
      <c r="J2073" s="18"/>
      <c r="K2073" s="18" t="s">
        <v>311</v>
      </c>
      <c r="L2073" s="25"/>
    </row>
    <row r="2074" customHeight="1" spans="1:12">
      <c r="A2074" s="14" t="str">
        <f t="shared" si="40"/>
        <v>0x000000B0</v>
      </c>
      <c r="B2074" s="15">
        <f>SUM_HEX(C2073:F2073,B2073,3)</f>
        <v>176</v>
      </c>
      <c r="C2074" s="16" t="s">
        <v>23</v>
      </c>
      <c r="D2074" s="16" t="s">
        <v>23</v>
      </c>
      <c r="E2074" s="16"/>
      <c r="F2074" s="16"/>
      <c r="G2074" s="17"/>
      <c r="H2074" s="17"/>
      <c r="I2074" s="22"/>
      <c r="J2074" s="17"/>
      <c r="K2074" s="17"/>
      <c r="L2074" s="23"/>
    </row>
    <row r="2075" customHeight="1" spans="1:12">
      <c r="A2075" s="14" t="str">
        <f t="shared" si="40"/>
        <v>0x000000B8</v>
      </c>
      <c r="B2075" s="15">
        <f>SUM_HEX(C2074:F2074,B2074,3)</f>
        <v>184</v>
      </c>
      <c r="C2075" s="16" t="s">
        <v>312</v>
      </c>
      <c r="D2075" s="16"/>
      <c r="E2075" s="16"/>
      <c r="F2075" s="16"/>
      <c r="G2075" s="18" t="s">
        <v>212</v>
      </c>
      <c r="H2075" s="18"/>
      <c r="I2075" s="24" t="s">
        <v>313</v>
      </c>
      <c r="J2075" s="18"/>
      <c r="K2075" s="18" t="s">
        <v>314</v>
      </c>
      <c r="L2075" s="25" t="s">
        <v>315</v>
      </c>
    </row>
    <row r="2076" customHeight="1" spans="1:12">
      <c r="A2076" s="14" t="str">
        <f t="shared" si="40"/>
        <v>0x000000BC</v>
      </c>
      <c r="B2076" s="15">
        <f>SUM_HEX(C2075:F2075,B2075,3)</f>
        <v>188</v>
      </c>
      <c r="C2076" s="16" t="s">
        <v>316</v>
      </c>
      <c r="D2076" s="16"/>
      <c r="E2076" s="16"/>
      <c r="F2076" s="16"/>
      <c r="G2076" s="18" t="s">
        <v>212</v>
      </c>
      <c r="H2076" s="18"/>
      <c r="I2076" s="49" t="s">
        <v>317</v>
      </c>
      <c r="J2076" s="18"/>
      <c r="K2076" s="18" t="s">
        <v>318</v>
      </c>
      <c r="L2076" s="25"/>
    </row>
    <row r="2077" customHeight="1" spans="1:12">
      <c r="A2077" s="14" t="str">
        <f t="shared" si="40"/>
        <v>0x000000C0</v>
      </c>
      <c r="B2077" s="15">
        <f>SUM_HEX(C2076:F2076,B2076,3)</f>
        <v>192</v>
      </c>
      <c r="C2077" s="16" t="s">
        <v>316</v>
      </c>
      <c r="D2077" s="16"/>
      <c r="E2077" s="16"/>
      <c r="F2077" s="16"/>
      <c r="G2077" s="18" t="s">
        <v>212</v>
      </c>
      <c r="H2077" s="18"/>
      <c r="I2077" s="49" t="s">
        <v>319</v>
      </c>
      <c r="J2077" s="18"/>
      <c r="K2077" s="18" t="s">
        <v>318</v>
      </c>
      <c r="L2077" s="25"/>
    </row>
    <row r="2078" customHeight="1" spans="1:12">
      <c r="A2078" s="14" t="str">
        <f t="shared" si="40"/>
        <v>0x000000C4</v>
      </c>
      <c r="B2078" s="15">
        <f>SUM_HEX(C2077:F2077,B2077,3)</f>
        <v>196</v>
      </c>
      <c r="C2078" s="16" t="s">
        <v>316</v>
      </c>
      <c r="D2078" s="16"/>
      <c r="E2078" s="16"/>
      <c r="F2078" s="16"/>
      <c r="G2078" s="18" t="s">
        <v>212</v>
      </c>
      <c r="H2078" s="18"/>
      <c r="I2078" s="49" t="s">
        <v>320</v>
      </c>
      <c r="J2078" s="18"/>
      <c r="K2078" s="18" t="s">
        <v>318</v>
      </c>
      <c r="L2078" s="25"/>
    </row>
    <row r="2079" customHeight="1" spans="1:12">
      <c r="A2079" s="14" t="str">
        <f t="shared" si="40"/>
        <v>0x000000C8</v>
      </c>
      <c r="B2079" s="15">
        <f>SUM_HEX(C2078:F2078,B2078,3)</f>
        <v>200</v>
      </c>
      <c r="C2079" s="16" t="s">
        <v>316</v>
      </c>
      <c r="D2079" s="16"/>
      <c r="E2079" s="16"/>
      <c r="F2079" s="16"/>
      <c r="G2079" s="18" t="s">
        <v>212</v>
      </c>
      <c r="H2079" s="18"/>
      <c r="I2079" s="49" t="s">
        <v>321</v>
      </c>
      <c r="J2079" s="18"/>
      <c r="K2079" s="18" t="s">
        <v>318</v>
      </c>
      <c r="L2079" s="25"/>
    </row>
    <row r="2080" customHeight="1" spans="1:12">
      <c r="A2080" s="14" t="str">
        <f t="shared" si="40"/>
        <v>0x000000CC</v>
      </c>
      <c r="B2080" s="15">
        <f>SUM_HEX(C2079:F2079,B2079,3)</f>
        <v>204</v>
      </c>
      <c r="C2080" s="16" t="s">
        <v>23</v>
      </c>
      <c r="D2080" s="16"/>
      <c r="E2080" s="16"/>
      <c r="F2080" s="16"/>
      <c r="G2080" s="18" t="s">
        <v>212</v>
      </c>
      <c r="H2080" s="18"/>
      <c r="I2080" s="49" t="s">
        <v>322</v>
      </c>
      <c r="J2080" s="18"/>
      <c r="K2080" s="18" t="s">
        <v>318</v>
      </c>
      <c r="L2080" s="25"/>
    </row>
    <row r="2081" customHeight="1" spans="1:12">
      <c r="A2081" s="14" t="str">
        <f t="shared" si="40"/>
        <v>0x000000D0</v>
      </c>
      <c r="B2081" s="15">
        <f>SUM_HEX(C2080:F2080,B2080,3)</f>
        <v>208</v>
      </c>
      <c r="C2081" s="16" t="s">
        <v>23</v>
      </c>
      <c r="D2081" s="16"/>
      <c r="E2081" s="16"/>
      <c r="F2081" s="16"/>
      <c r="G2081" s="18" t="s">
        <v>212</v>
      </c>
      <c r="H2081" s="18"/>
      <c r="I2081" s="49" t="s">
        <v>323</v>
      </c>
      <c r="J2081" s="18"/>
      <c r="K2081" s="18" t="s">
        <v>318</v>
      </c>
      <c r="L2081" s="25"/>
    </row>
    <row r="2082" customHeight="1" spans="1:12">
      <c r="A2082" s="14" t="str">
        <f t="shared" si="40"/>
        <v>0x000000D4</v>
      </c>
      <c r="B2082" s="15">
        <f>SUM_HEX(C2081:F2081,B2081,3)</f>
        <v>212</v>
      </c>
      <c r="C2082" s="16" t="s">
        <v>23</v>
      </c>
      <c r="D2082" s="16"/>
      <c r="E2082" s="16"/>
      <c r="F2082" s="16"/>
      <c r="G2082" s="18" t="s">
        <v>212</v>
      </c>
      <c r="H2082" s="18"/>
      <c r="I2082" s="49" t="s">
        <v>324</v>
      </c>
      <c r="J2082" s="18"/>
      <c r="K2082" s="18" t="s">
        <v>318</v>
      </c>
      <c r="L2082" s="25"/>
    </row>
    <row r="2083" customHeight="1" spans="1:12">
      <c r="A2083" s="14" t="str">
        <f t="shared" si="40"/>
        <v>0x000000D8</v>
      </c>
      <c r="B2083" s="15">
        <f>SUM_HEX(C2082:F2082,B2082,3)</f>
        <v>216</v>
      </c>
      <c r="C2083" s="16" t="s">
        <v>23</v>
      </c>
      <c r="D2083" s="16"/>
      <c r="E2083" s="16"/>
      <c r="F2083" s="16"/>
      <c r="G2083" s="18" t="s">
        <v>212</v>
      </c>
      <c r="H2083" s="18"/>
      <c r="I2083" s="49" t="s">
        <v>325</v>
      </c>
      <c r="J2083" s="18"/>
      <c r="K2083" s="18" t="s">
        <v>318</v>
      </c>
      <c r="L2083" s="25"/>
    </row>
    <row r="2084" customHeight="1" spans="1:12">
      <c r="A2084" s="14" t="str">
        <f t="shared" si="40"/>
        <v>0x000000DC</v>
      </c>
      <c r="B2084" s="15">
        <f>SUM_HEX(C2083:F2083,B2083,3)</f>
        <v>220</v>
      </c>
      <c r="C2084" s="16" t="s">
        <v>23</v>
      </c>
      <c r="D2084" s="16"/>
      <c r="E2084" s="16"/>
      <c r="F2084" s="16"/>
      <c r="G2084" s="46" t="s">
        <v>157</v>
      </c>
      <c r="H2084" s="46" t="s">
        <v>326</v>
      </c>
      <c r="I2084" s="24" t="s">
        <v>327</v>
      </c>
      <c r="J2084" s="18"/>
      <c r="K2084" s="18" t="s">
        <v>328</v>
      </c>
      <c r="L2084" s="25" t="s">
        <v>272</v>
      </c>
    </row>
    <row r="2085" customHeight="1" spans="1:12">
      <c r="A2085" s="14" t="str">
        <f t="shared" si="40"/>
        <v>0x000000E0</v>
      </c>
      <c r="B2085" s="15">
        <f>SUM_HEX(C2084:F2084,B2084,3)</f>
        <v>224</v>
      </c>
      <c r="C2085" s="16" t="s">
        <v>329</v>
      </c>
      <c r="D2085" s="16"/>
      <c r="E2085" s="16"/>
      <c r="F2085" s="16"/>
      <c r="G2085" s="47"/>
      <c r="H2085" s="47"/>
      <c r="I2085" s="24"/>
      <c r="J2085" s="18"/>
      <c r="K2085" s="18"/>
      <c r="L2085" s="25"/>
    </row>
    <row r="2086" customHeight="1" spans="1:12">
      <c r="A2086" s="14" t="str">
        <f t="shared" si="40"/>
        <v>0x000000E4</v>
      </c>
      <c r="B2086" s="15">
        <f>SUM_HEX(C2085:F2085,B2085,3)</f>
        <v>228</v>
      </c>
      <c r="C2086" s="16" t="s">
        <v>330</v>
      </c>
      <c r="D2086" s="16" t="s">
        <v>330</v>
      </c>
      <c r="E2086" s="16" t="s">
        <v>330</v>
      </c>
      <c r="F2086" s="16"/>
      <c r="G2086" s="47"/>
      <c r="H2086" s="47"/>
      <c r="I2086" s="24"/>
      <c r="J2086" s="18"/>
      <c r="K2086" s="18"/>
      <c r="L2086" s="25"/>
    </row>
    <row r="2087" customHeight="1" spans="1:12">
      <c r="A2087" s="14" t="str">
        <f t="shared" si="40"/>
        <v>0x000000F0</v>
      </c>
      <c r="B2087" s="15">
        <f>SUM_HEX(C2086:F2086,B2086,3)</f>
        <v>240</v>
      </c>
      <c r="C2087" s="16" t="s">
        <v>23</v>
      </c>
      <c r="D2087" s="16" t="s">
        <v>23</v>
      </c>
      <c r="E2087" s="16" t="s">
        <v>23</v>
      </c>
      <c r="F2087" s="16"/>
      <c r="G2087" s="47"/>
      <c r="H2087" s="47"/>
      <c r="I2087" s="24"/>
      <c r="J2087" s="18"/>
      <c r="K2087" s="18"/>
      <c r="L2087" s="25"/>
    </row>
    <row r="2088" customHeight="1" spans="1:12">
      <c r="A2088" s="14" t="str">
        <f t="shared" si="40"/>
        <v>0x000000FC</v>
      </c>
      <c r="B2088" s="15">
        <f>SUM_HEX(C2087:F2087,B2087,3)</f>
        <v>252</v>
      </c>
      <c r="C2088" s="16" t="s">
        <v>274</v>
      </c>
      <c r="D2088" s="16"/>
      <c r="E2088" s="16"/>
      <c r="F2088" s="16"/>
      <c r="G2088" s="48"/>
      <c r="H2088" s="48"/>
      <c r="I2088" s="24"/>
      <c r="J2088" s="18"/>
      <c r="K2088" s="18"/>
      <c r="L2088" s="25"/>
    </row>
    <row r="2089" customHeight="1" spans="1:12">
      <c r="A2089" s="14" t="str">
        <f t="shared" si="40"/>
        <v>0x00000100</v>
      </c>
      <c r="B2089" s="15">
        <f>SUM_HEX(C2088:F2088,B2088,3)</f>
        <v>256</v>
      </c>
      <c r="C2089" s="16" t="s">
        <v>23</v>
      </c>
      <c r="D2089" s="16"/>
      <c r="E2089" s="16"/>
      <c r="F2089" s="16"/>
      <c r="G2089" s="46" t="s">
        <v>157</v>
      </c>
      <c r="H2089" s="46" t="s">
        <v>326</v>
      </c>
      <c r="I2089" s="24" t="s">
        <v>331</v>
      </c>
      <c r="J2089" s="18"/>
      <c r="K2089" s="18" t="s">
        <v>332</v>
      </c>
      <c r="L2089" s="25" t="s">
        <v>333</v>
      </c>
    </row>
    <row r="2090" customHeight="1" spans="1:12">
      <c r="A2090" s="14" t="str">
        <f t="shared" si="40"/>
        <v>0x00000104</v>
      </c>
      <c r="B2090" s="15">
        <f>SUM_HEX(C2089:F2089,B2089,3)</f>
        <v>260</v>
      </c>
      <c r="C2090" s="16" t="s">
        <v>334</v>
      </c>
      <c r="D2090" s="16"/>
      <c r="E2090" s="16"/>
      <c r="F2090" s="16"/>
      <c r="G2090" s="47"/>
      <c r="H2090" s="47"/>
      <c r="I2090" s="24"/>
      <c r="J2090" s="18"/>
      <c r="K2090" s="18"/>
      <c r="L2090" s="25"/>
    </row>
    <row r="2091" customHeight="1" spans="1:12">
      <c r="A2091" s="14" t="str">
        <f t="shared" si="40"/>
        <v>0x00000108</v>
      </c>
      <c r="B2091" s="15">
        <f>SUM_HEX(C2090:F2090,B2090,3)</f>
        <v>264</v>
      </c>
      <c r="C2091" s="16" t="s">
        <v>23</v>
      </c>
      <c r="D2091" s="16" t="s">
        <v>23</v>
      </c>
      <c r="E2091" s="16" t="s">
        <v>23</v>
      </c>
      <c r="F2091" s="16"/>
      <c r="G2091" s="47"/>
      <c r="H2091" s="47"/>
      <c r="I2091" s="24"/>
      <c r="J2091" s="18"/>
      <c r="K2091" s="18"/>
      <c r="L2091" s="25"/>
    </row>
    <row r="2092" customHeight="1" spans="1:12">
      <c r="A2092" s="14" t="str">
        <f t="shared" si="40"/>
        <v>0x00000114</v>
      </c>
      <c r="B2092" s="15">
        <f>SUM_HEX(C2091:F2091,B2091,3)</f>
        <v>276</v>
      </c>
      <c r="C2092" s="16" t="s">
        <v>23</v>
      </c>
      <c r="D2092" s="16" t="s">
        <v>23</v>
      </c>
      <c r="E2092" s="16" t="s">
        <v>23</v>
      </c>
      <c r="F2092" s="16"/>
      <c r="G2092" s="47"/>
      <c r="H2092" s="47"/>
      <c r="I2092" s="24"/>
      <c r="J2092" s="18"/>
      <c r="K2092" s="18"/>
      <c r="L2092" s="25"/>
    </row>
    <row r="2093" customHeight="1" spans="1:12">
      <c r="A2093" s="14" t="str">
        <f t="shared" si="40"/>
        <v>0x00000120</v>
      </c>
      <c r="B2093" s="15">
        <f>SUM_HEX(C2092:F2092,B2092,3)</f>
        <v>288</v>
      </c>
      <c r="C2093" s="16" t="s">
        <v>274</v>
      </c>
      <c r="D2093" s="16"/>
      <c r="E2093" s="16"/>
      <c r="F2093" s="16"/>
      <c r="G2093" s="48"/>
      <c r="H2093" s="48"/>
      <c r="I2093" s="24"/>
      <c r="J2093" s="18"/>
      <c r="K2093" s="18"/>
      <c r="L2093" s="25"/>
    </row>
    <row r="2094" customHeight="1" spans="1:12">
      <c r="A2094" s="14" t="str">
        <f t="shared" si="40"/>
        <v>0x00000124</v>
      </c>
      <c r="B2094" s="15">
        <f>SUM_HEX(C2093:F2093,B2093,3)</f>
        <v>292</v>
      </c>
      <c r="C2094" s="16" t="s">
        <v>23</v>
      </c>
      <c r="D2094" s="16"/>
      <c r="E2094" s="16"/>
      <c r="F2094" s="16"/>
      <c r="G2094" s="46" t="s">
        <v>157</v>
      </c>
      <c r="H2094" s="46" t="s">
        <v>335</v>
      </c>
      <c r="I2094" s="24" t="s">
        <v>336</v>
      </c>
      <c r="J2094" s="18"/>
      <c r="K2094" s="18" t="s">
        <v>337</v>
      </c>
      <c r="L2094" s="25"/>
    </row>
    <row r="2095" customHeight="1" spans="1:12">
      <c r="A2095" s="14" t="str">
        <f t="shared" si="40"/>
        <v>0x00000128</v>
      </c>
      <c r="B2095" s="15">
        <f>SUM_HEX(C2094:F2094,B2094,3)</f>
        <v>296</v>
      </c>
      <c r="C2095" s="16" t="s">
        <v>338</v>
      </c>
      <c r="D2095" s="16"/>
      <c r="E2095" s="16"/>
      <c r="F2095" s="16"/>
      <c r="G2095" s="47"/>
      <c r="H2095" s="47"/>
      <c r="I2095" s="24"/>
      <c r="J2095" s="18"/>
      <c r="K2095" s="18"/>
      <c r="L2095" s="25"/>
    </row>
    <row r="2096" customHeight="1" spans="1:12">
      <c r="A2096" s="14" t="str">
        <f t="shared" si="40"/>
        <v>0x0000012C</v>
      </c>
      <c r="B2096" s="15">
        <f>SUM_HEX(C2095:F2095,B2095,3)</f>
        <v>300</v>
      </c>
      <c r="C2096" s="16" t="s">
        <v>274</v>
      </c>
      <c r="D2096" s="16" t="s">
        <v>23</v>
      </c>
      <c r="E2096" s="16"/>
      <c r="F2096" s="16"/>
      <c r="G2096" s="47"/>
      <c r="H2096" s="47"/>
      <c r="I2096" s="24"/>
      <c r="J2096" s="18"/>
      <c r="K2096" s="18"/>
      <c r="L2096" s="25"/>
    </row>
    <row r="2097" customHeight="1" spans="1:12">
      <c r="A2097" s="14" t="str">
        <f t="shared" si="40"/>
        <v>0x00000134</v>
      </c>
      <c r="B2097" s="15">
        <f>SUM_HEX(C2096:F2096,B2096,3)</f>
        <v>308</v>
      </c>
      <c r="C2097" s="16" t="s">
        <v>274</v>
      </c>
      <c r="D2097" s="16"/>
      <c r="E2097" s="16"/>
      <c r="F2097" s="16"/>
      <c r="G2097" s="48"/>
      <c r="H2097" s="48"/>
      <c r="I2097" s="24"/>
      <c r="J2097" s="18"/>
      <c r="K2097" s="18"/>
      <c r="L2097" s="25"/>
    </row>
    <row r="2098" customHeight="1" spans="1:12">
      <c r="A2098" s="14" t="str">
        <f t="shared" si="40"/>
        <v>0x00000138</v>
      </c>
      <c r="B2098" s="15">
        <f>SUM_HEX(C2097:F2097,B2097,3)</f>
        <v>312</v>
      </c>
      <c r="C2098" s="16" t="s">
        <v>23</v>
      </c>
      <c r="D2098" s="16"/>
      <c r="E2098" s="16"/>
      <c r="F2098" s="16"/>
      <c r="G2098" s="46" t="s">
        <v>157</v>
      </c>
      <c r="H2098" s="46" t="s">
        <v>335</v>
      </c>
      <c r="I2098" s="24" t="s">
        <v>339</v>
      </c>
      <c r="J2098" s="18"/>
      <c r="K2098" s="18" t="s">
        <v>337</v>
      </c>
      <c r="L2098" s="25"/>
    </row>
    <row r="2099" customHeight="1" spans="1:12">
      <c r="A2099" s="14" t="str">
        <f t="shared" si="40"/>
        <v>0x0000013C</v>
      </c>
      <c r="B2099" s="15">
        <f>SUM_HEX(C2098:F2098,B2098,3)</f>
        <v>316</v>
      </c>
      <c r="C2099" s="16" t="s">
        <v>340</v>
      </c>
      <c r="D2099" s="16"/>
      <c r="E2099" s="16"/>
      <c r="F2099" s="16"/>
      <c r="G2099" s="47"/>
      <c r="H2099" s="47"/>
      <c r="I2099" s="24"/>
      <c r="J2099" s="18"/>
      <c r="K2099" s="18"/>
      <c r="L2099" s="25"/>
    </row>
    <row r="2100" customHeight="1" spans="1:12">
      <c r="A2100" s="14" t="str">
        <f t="shared" si="40"/>
        <v>0x00000140</v>
      </c>
      <c r="B2100" s="15">
        <f>SUM_HEX(C2099:F2099,B2099,3)</f>
        <v>320</v>
      </c>
      <c r="C2100" s="16" t="s">
        <v>274</v>
      </c>
      <c r="D2100" s="16" t="s">
        <v>23</v>
      </c>
      <c r="E2100" s="16"/>
      <c r="F2100" s="16"/>
      <c r="G2100" s="47"/>
      <c r="H2100" s="47"/>
      <c r="I2100" s="24"/>
      <c r="J2100" s="18"/>
      <c r="K2100" s="18"/>
      <c r="L2100" s="25"/>
    </row>
    <row r="2101" customHeight="1" spans="1:12">
      <c r="A2101" s="14" t="str">
        <f t="shared" si="40"/>
        <v>0x00000148</v>
      </c>
      <c r="B2101" s="15">
        <f>SUM_HEX(C2100:F2100,B2100,3)</f>
        <v>328</v>
      </c>
      <c r="C2101" s="16" t="s">
        <v>274</v>
      </c>
      <c r="D2101" s="16"/>
      <c r="E2101" s="16"/>
      <c r="F2101" s="16"/>
      <c r="G2101" s="48"/>
      <c r="H2101" s="48"/>
      <c r="I2101" s="24"/>
      <c r="J2101" s="18"/>
      <c r="K2101" s="18"/>
      <c r="L2101" s="25"/>
    </row>
    <row r="2102" customHeight="1" spans="1:12">
      <c r="A2102" s="14" t="str">
        <f t="shared" si="40"/>
        <v>0x0000014C</v>
      </c>
      <c r="B2102" s="15">
        <f>SUM_HEX(C2101:F2101,B2101,3)</f>
        <v>332</v>
      </c>
      <c r="C2102" s="16" t="s">
        <v>23</v>
      </c>
      <c r="D2102" s="16"/>
      <c r="E2102" s="16"/>
      <c r="F2102" s="16"/>
      <c r="G2102" s="46" t="s">
        <v>157</v>
      </c>
      <c r="H2102" s="46" t="s">
        <v>335</v>
      </c>
      <c r="I2102" s="24" t="s">
        <v>341</v>
      </c>
      <c r="J2102" s="18"/>
      <c r="K2102" s="18" t="s">
        <v>337</v>
      </c>
      <c r="L2102" s="25"/>
    </row>
    <row r="2103" customHeight="1" spans="1:12">
      <c r="A2103" s="14" t="str">
        <f t="shared" si="40"/>
        <v>0x00000150</v>
      </c>
      <c r="B2103" s="15">
        <f>SUM_HEX(C2102:F2102,B2102,3)</f>
        <v>336</v>
      </c>
      <c r="C2103" s="16" t="s">
        <v>342</v>
      </c>
      <c r="D2103" s="16"/>
      <c r="E2103" s="16"/>
      <c r="F2103" s="16"/>
      <c r="G2103" s="47"/>
      <c r="H2103" s="47"/>
      <c r="I2103" s="24"/>
      <c r="J2103" s="18"/>
      <c r="K2103" s="18"/>
      <c r="L2103" s="25"/>
    </row>
    <row r="2104" customHeight="1" spans="1:12">
      <c r="A2104" s="14" t="str">
        <f t="shared" si="40"/>
        <v>0x00000154</v>
      </c>
      <c r="B2104" s="15">
        <f>SUM_HEX(C2103:F2103,B2103,3)</f>
        <v>340</v>
      </c>
      <c r="C2104" s="16" t="s">
        <v>274</v>
      </c>
      <c r="D2104" s="16" t="s">
        <v>23</v>
      </c>
      <c r="E2104" s="16"/>
      <c r="F2104" s="16"/>
      <c r="G2104" s="47"/>
      <c r="H2104" s="47"/>
      <c r="I2104" s="24"/>
      <c r="J2104" s="18"/>
      <c r="K2104" s="18"/>
      <c r="L2104" s="25"/>
    </row>
    <row r="2105" customHeight="1" spans="1:12">
      <c r="A2105" s="14" t="str">
        <f>"0x"&amp;DEC2HEX(B2105,8)</f>
        <v>0x0000015C</v>
      </c>
      <c r="B2105" s="15">
        <f>SUM_HEX(C2104:F2104,B2104,3)</f>
        <v>348</v>
      </c>
      <c r="C2105" s="16" t="s">
        <v>274</v>
      </c>
      <c r="D2105" s="16"/>
      <c r="E2105" s="16"/>
      <c r="F2105" s="16"/>
      <c r="G2105" s="48"/>
      <c r="H2105" s="48"/>
      <c r="I2105" s="24"/>
      <c r="J2105" s="18"/>
      <c r="K2105" s="18"/>
      <c r="L2105" s="25"/>
    </row>
    <row r="2106" customHeight="1" spans="1:12">
      <c r="A2106" s="14" t="str">
        <f>"0x"&amp;DEC2HEX(B2106,8)</f>
        <v>0x00000160</v>
      </c>
      <c r="B2106" s="15">
        <f>SUM_HEX(C2105:F2105,B2105,3)</f>
        <v>352</v>
      </c>
      <c r="C2106" s="16" t="s">
        <v>23</v>
      </c>
      <c r="D2106" s="16"/>
      <c r="E2106" s="16"/>
      <c r="F2106" s="16"/>
      <c r="G2106" s="18" t="s">
        <v>212</v>
      </c>
      <c r="H2106" s="18"/>
      <c r="I2106" s="24" t="s">
        <v>343</v>
      </c>
      <c r="J2106" s="50"/>
      <c r="K2106" s="18" t="s">
        <v>344</v>
      </c>
      <c r="L2106" s="25"/>
    </row>
    <row r="2107" customHeight="1" spans="1:12">
      <c r="A2107" s="14" t="str">
        <f t="shared" ref="A2107:A2112" si="41">"0x"&amp;DEC2HEX(B2107,8)</f>
        <v>0x00000164</v>
      </c>
      <c r="B2107" s="15">
        <f>SUM_HEX(C2106:F2106,B2106,3)</f>
        <v>356</v>
      </c>
      <c r="C2107" s="16" t="s">
        <v>148</v>
      </c>
      <c r="D2107" s="16"/>
      <c r="E2107" s="16"/>
      <c r="F2107" s="16"/>
      <c r="G2107" s="18" t="s">
        <v>212</v>
      </c>
      <c r="H2107" s="18"/>
      <c r="I2107" s="24" t="s">
        <v>345</v>
      </c>
      <c r="J2107" s="50"/>
      <c r="K2107" s="18" t="s">
        <v>346</v>
      </c>
      <c r="L2107" s="25"/>
    </row>
    <row r="2108" customHeight="1" spans="1:12">
      <c r="A2108" s="14" t="str">
        <f t="shared" si="41"/>
        <v>0x00000168</v>
      </c>
      <c r="B2108" s="15">
        <f>SUM_HEX(C2107:F2107,B2107,3)</f>
        <v>360</v>
      </c>
      <c r="C2108" s="16" t="s">
        <v>148</v>
      </c>
      <c r="D2108" s="16"/>
      <c r="E2108" s="16"/>
      <c r="F2108" s="16"/>
      <c r="G2108" s="18" t="s">
        <v>212</v>
      </c>
      <c r="H2108" s="18"/>
      <c r="I2108" s="24" t="s">
        <v>347</v>
      </c>
      <c r="J2108" s="50"/>
      <c r="K2108" s="18" t="s">
        <v>346</v>
      </c>
      <c r="L2108" s="25"/>
    </row>
    <row r="2109" customHeight="1" spans="1:12">
      <c r="A2109" s="14" t="str">
        <f t="shared" si="41"/>
        <v>0x0000016C</v>
      </c>
      <c r="B2109" s="15">
        <f>SUM_HEX(C2108:F2108,B2108,3)</f>
        <v>364</v>
      </c>
      <c r="C2109" s="16" t="s">
        <v>23</v>
      </c>
      <c r="D2109" s="16"/>
      <c r="E2109" s="16"/>
      <c r="F2109" s="16"/>
      <c r="G2109" s="18" t="s">
        <v>212</v>
      </c>
      <c r="H2109" s="18"/>
      <c r="I2109" s="24" t="s">
        <v>348</v>
      </c>
      <c r="J2109" s="50"/>
      <c r="K2109" s="18"/>
      <c r="L2109" s="25"/>
    </row>
    <row r="2110" customHeight="1" spans="1:12">
      <c r="A2110" s="14" t="str">
        <f t="shared" si="41"/>
        <v>0x00000170</v>
      </c>
      <c r="B2110" s="15">
        <f>SUM_HEX(C2109:F2109,B2109,3)</f>
        <v>368</v>
      </c>
      <c r="C2110" s="16" t="s">
        <v>23</v>
      </c>
      <c r="D2110" s="16"/>
      <c r="E2110" s="16"/>
      <c r="F2110" s="16"/>
      <c r="G2110" s="18" t="s">
        <v>33</v>
      </c>
      <c r="H2110" s="18"/>
      <c r="I2110" s="24" t="s">
        <v>349</v>
      </c>
      <c r="J2110" s="18"/>
      <c r="K2110" s="18"/>
      <c r="L2110" s="25"/>
    </row>
    <row r="2111" customHeight="1" spans="1:12">
      <c r="A2111" s="14" t="str">
        <f t="shared" si="41"/>
        <v>0x00000174</v>
      </c>
      <c r="B2111" s="15">
        <f>SUM_HEX(C2110:F2110,B2110,3)</f>
        <v>372</v>
      </c>
      <c r="C2111" s="16" t="s">
        <v>23</v>
      </c>
      <c r="D2111" s="16"/>
      <c r="E2111" s="16"/>
      <c r="F2111" s="16"/>
      <c r="G2111" s="17"/>
      <c r="H2111" s="17"/>
      <c r="I2111" s="22"/>
      <c r="J2111" s="17"/>
      <c r="K2111" s="17"/>
      <c r="L2111" s="23"/>
    </row>
    <row r="2112" customHeight="1" spans="1:12">
      <c r="A2112" s="14" t="str">
        <f t="shared" si="41"/>
        <v>0x00000178</v>
      </c>
      <c r="B2112" s="15">
        <f>SUM_HEX(C2111:F2111,B2111,3)</f>
        <v>376</v>
      </c>
      <c r="C2112" s="53" t="s">
        <v>23</v>
      </c>
      <c r="D2112" s="53"/>
      <c r="E2112" s="53"/>
      <c r="F2112" s="53"/>
      <c r="G2112" s="54" t="s">
        <v>212</v>
      </c>
      <c r="H2112" s="54"/>
      <c r="I2112" s="58" t="s">
        <v>544</v>
      </c>
      <c r="J2112" s="54"/>
      <c r="K2112" s="54"/>
      <c r="L2112" s="53"/>
    </row>
    <row r="2113" customHeight="1" spans="1:12">
      <c r="A2113" s="14" t="str">
        <f t="shared" ref="A2113:A2169" si="42">"0x"&amp;DEC2HEX(B2113,8)</f>
        <v>0x0000017C</v>
      </c>
      <c r="B2113" s="15">
        <f>SUM_HEX(C2112:F2112,B2112,3)</f>
        <v>380</v>
      </c>
      <c r="C2113" s="16" t="s">
        <v>23</v>
      </c>
      <c r="D2113" s="16"/>
      <c r="E2113" s="16"/>
      <c r="F2113" s="16"/>
      <c r="G2113" s="18" t="s">
        <v>212</v>
      </c>
      <c r="H2113" s="18"/>
      <c r="I2113" s="24" t="s">
        <v>350</v>
      </c>
      <c r="J2113" s="18"/>
      <c r="K2113" s="18"/>
      <c r="L2113" s="25" t="s">
        <v>272</v>
      </c>
    </row>
    <row r="2114" customHeight="1" spans="1:12">
      <c r="A2114" s="14" t="str">
        <f t="shared" si="42"/>
        <v>0x00000180</v>
      </c>
      <c r="B2114" s="15">
        <f>SUM_HEX(C2113:F2113,B2113,3)</f>
        <v>384</v>
      </c>
      <c r="C2114" s="16" t="s">
        <v>23</v>
      </c>
      <c r="D2114" s="16"/>
      <c r="E2114" s="16"/>
      <c r="F2114" s="16"/>
      <c r="G2114" s="18" t="s">
        <v>212</v>
      </c>
      <c r="H2114" s="18"/>
      <c r="I2114" s="24" t="s">
        <v>351</v>
      </c>
      <c r="J2114" s="18"/>
      <c r="K2114" s="18"/>
      <c r="L2114" s="25"/>
    </row>
    <row r="2115" customHeight="1" spans="1:12">
      <c r="A2115" s="14" t="str">
        <f t="shared" si="42"/>
        <v>0x00000184</v>
      </c>
      <c r="B2115" s="15">
        <f>SUM_HEX(C2114:F2114,B2114,3)</f>
        <v>388</v>
      </c>
      <c r="C2115" s="16" t="s">
        <v>23</v>
      </c>
      <c r="D2115" s="16"/>
      <c r="E2115" s="16"/>
      <c r="F2115" s="16"/>
      <c r="G2115" s="18" t="s">
        <v>212</v>
      </c>
      <c r="H2115" s="18"/>
      <c r="I2115" s="24" t="s">
        <v>352</v>
      </c>
      <c r="J2115" s="18"/>
      <c r="K2115" s="18"/>
      <c r="L2115" s="25"/>
    </row>
    <row r="2116" customHeight="1" spans="1:12">
      <c r="A2116" s="14" t="str">
        <f t="shared" si="42"/>
        <v>0x00000188</v>
      </c>
      <c r="B2116" s="15">
        <f>SUM_HEX(C2115:F2115,B2115,3)</f>
        <v>392</v>
      </c>
      <c r="C2116" s="16" t="s">
        <v>353</v>
      </c>
      <c r="D2116" s="16"/>
      <c r="E2116" s="16"/>
      <c r="F2116" s="16"/>
      <c r="G2116" s="18" t="s">
        <v>212</v>
      </c>
      <c r="H2116" s="18"/>
      <c r="I2116" s="24" t="s">
        <v>354</v>
      </c>
      <c r="J2116" s="18"/>
      <c r="K2116" s="18"/>
      <c r="L2116" s="25"/>
    </row>
    <row r="2117" customHeight="1" spans="1:12">
      <c r="A2117" s="14" t="str">
        <f t="shared" si="42"/>
        <v>0x0000018C</v>
      </c>
      <c r="B2117" s="15">
        <f>SUM_HEX(C2116:F2116,B2116,3)</f>
        <v>396</v>
      </c>
      <c r="C2117" s="16" t="s">
        <v>29</v>
      </c>
      <c r="D2117" s="16"/>
      <c r="E2117" s="16"/>
      <c r="F2117" s="16"/>
      <c r="G2117" s="18" t="s">
        <v>15</v>
      </c>
      <c r="H2117" s="18"/>
      <c r="I2117" s="24"/>
      <c r="J2117" s="18"/>
      <c r="K2117" s="18"/>
      <c r="L2117" s="25"/>
    </row>
    <row r="2118" customHeight="1" spans="1:12">
      <c r="A2118" s="14" t="str">
        <f t="shared" si="42"/>
        <v>0x00000190</v>
      </c>
      <c r="B2118" s="15">
        <f>SUM_HEX(C2117:F2117,B2117,3)</f>
        <v>400</v>
      </c>
      <c r="C2118" s="16" t="s">
        <v>355</v>
      </c>
      <c r="D2118" s="16"/>
      <c r="E2118" s="16"/>
      <c r="F2118" s="16"/>
      <c r="G2118" s="18" t="s">
        <v>15</v>
      </c>
      <c r="H2118" s="18"/>
      <c r="I2118" s="24" t="s">
        <v>356</v>
      </c>
      <c r="J2118" s="18"/>
      <c r="K2118" s="18"/>
      <c r="L2118" s="25"/>
    </row>
    <row r="2119" customHeight="1" spans="1:12">
      <c r="A2119" s="14" t="str">
        <f t="shared" si="42"/>
        <v>0x00000194</v>
      </c>
      <c r="B2119" s="15">
        <f>SUM_HEX(C2118:F2118,B2118,3)</f>
        <v>404</v>
      </c>
      <c r="C2119" s="16" t="s">
        <v>23</v>
      </c>
      <c r="D2119" s="16"/>
      <c r="E2119" s="16"/>
      <c r="F2119" s="16"/>
      <c r="G2119" s="46" t="s">
        <v>157</v>
      </c>
      <c r="H2119" s="46" t="s">
        <v>212</v>
      </c>
      <c r="I2119" s="18" t="s">
        <v>357</v>
      </c>
      <c r="J2119" s="18"/>
      <c r="K2119" s="18"/>
      <c r="L2119" s="25"/>
    </row>
    <row r="2120" customHeight="1" spans="1:12">
      <c r="A2120" s="14" t="str">
        <f t="shared" si="42"/>
        <v>0x00000198</v>
      </c>
      <c r="B2120" s="15">
        <f>SUM_HEX(C2119:F2119,B2119,3)</f>
        <v>408</v>
      </c>
      <c r="C2120" s="16" t="s">
        <v>358</v>
      </c>
      <c r="D2120" s="16"/>
      <c r="E2120" s="16"/>
      <c r="F2120" s="16"/>
      <c r="G2120" s="47"/>
      <c r="H2120" s="47"/>
      <c r="I2120" s="18"/>
      <c r="J2120" s="18"/>
      <c r="K2120" s="18"/>
      <c r="L2120" s="25"/>
    </row>
    <row r="2121" customHeight="1" spans="1:12">
      <c r="A2121" s="14" t="str">
        <f t="shared" si="42"/>
        <v>0x0000019C</v>
      </c>
      <c r="B2121" s="15">
        <f>SUM_HEX(C2120:F2120,B2120,3)</f>
        <v>412</v>
      </c>
      <c r="C2121" s="16" t="s">
        <v>359</v>
      </c>
      <c r="D2121" s="16" t="s">
        <v>23</v>
      </c>
      <c r="E2121" s="16"/>
      <c r="F2121" s="16"/>
      <c r="G2121" s="47"/>
      <c r="H2121" s="47"/>
      <c r="I2121" s="18"/>
      <c r="J2121" s="18"/>
      <c r="K2121" s="18"/>
      <c r="L2121" s="25"/>
    </row>
    <row r="2122" customHeight="1" spans="1:12">
      <c r="A2122" s="14" t="str">
        <f t="shared" si="42"/>
        <v>0x000001A4</v>
      </c>
      <c r="B2122" s="15">
        <f>SUM_HEX(C2121:F2121,B2121,3)</f>
        <v>420</v>
      </c>
      <c r="C2122" s="16" t="s">
        <v>274</v>
      </c>
      <c r="D2122" s="16"/>
      <c r="E2122" s="16"/>
      <c r="F2122" s="16"/>
      <c r="G2122" s="48"/>
      <c r="H2122" s="48"/>
      <c r="I2122" s="18"/>
      <c r="J2122" s="18"/>
      <c r="K2122" s="18"/>
      <c r="L2122" s="25"/>
    </row>
    <row r="2123" customHeight="1" spans="1:12">
      <c r="A2123" s="14" t="str">
        <f t="shared" si="42"/>
        <v>0x000001A8</v>
      </c>
      <c r="B2123" s="15">
        <f>SUM_HEX(C2122:F2122,B2122,3)</f>
        <v>424</v>
      </c>
      <c r="C2123" s="16" t="s">
        <v>23</v>
      </c>
      <c r="D2123" s="16"/>
      <c r="E2123" s="16"/>
      <c r="F2123" s="16"/>
      <c r="G2123" s="18" t="s">
        <v>15</v>
      </c>
      <c r="H2123" s="18"/>
      <c r="I2123" s="24" t="s">
        <v>360</v>
      </c>
      <c r="J2123" s="18"/>
      <c r="K2123" s="18"/>
      <c r="L2123" s="25"/>
    </row>
    <row r="2124" customHeight="1" spans="1:12">
      <c r="A2124" s="14" t="str">
        <f t="shared" si="42"/>
        <v>0x000001AC</v>
      </c>
      <c r="B2124" s="15">
        <f>SUM_HEX(C2123:F2123,B2123,3)</f>
        <v>428</v>
      </c>
      <c r="C2124" s="16" t="s">
        <v>23</v>
      </c>
      <c r="D2124" s="16"/>
      <c r="E2124" s="16"/>
      <c r="F2124" s="16"/>
      <c r="G2124" s="46" t="s">
        <v>157</v>
      </c>
      <c r="H2124" s="46" t="s">
        <v>326</v>
      </c>
      <c r="I2124" s="24" t="s">
        <v>361</v>
      </c>
      <c r="J2124" s="18"/>
      <c r="K2124" s="18"/>
      <c r="L2124" s="25" t="s">
        <v>272</v>
      </c>
    </row>
    <row r="2125" customHeight="1" spans="1:12">
      <c r="A2125" s="14" t="str">
        <f t="shared" si="42"/>
        <v>0x000001B0</v>
      </c>
      <c r="B2125" s="15">
        <f>SUM_HEX(C2124:F2124,B2124,3)</f>
        <v>432</v>
      </c>
      <c r="C2125" s="16" t="s">
        <v>362</v>
      </c>
      <c r="D2125" s="16"/>
      <c r="E2125" s="16"/>
      <c r="F2125" s="16"/>
      <c r="G2125" s="47"/>
      <c r="H2125" s="47"/>
      <c r="I2125" s="18"/>
      <c r="J2125" s="18"/>
      <c r="K2125" s="18"/>
      <c r="L2125" s="25"/>
    </row>
    <row r="2126" customHeight="1" spans="1:12">
      <c r="A2126" s="14" t="str">
        <f t="shared" si="42"/>
        <v>0x000001B4</v>
      </c>
      <c r="B2126" s="15">
        <f>SUM_HEX(C2125:F2125,B2125,3)</f>
        <v>436</v>
      </c>
      <c r="C2126" s="16" t="s">
        <v>330</v>
      </c>
      <c r="D2126" s="16" t="s">
        <v>330</v>
      </c>
      <c r="E2126" s="16" t="s">
        <v>330</v>
      </c>
      <c r="F2126" s="16"/>
      <c r="G2126" s="47"/>
      <c r="H2126" s="47"/>
      <c r="I2126" s="18"/>
      <c r="J2126" s="18"/>
      <c r="K2126" s="18"/>
      <c r="L2126" s="25"/>
    </row>
    <row r="2127" customHeight="1" spans="1:12">
      <c r="A2127" s="14" t="str">
        <f t="shared" si="42"/>
        <v>0x000001C0</v>
      </c>
      <c r="B2127" s="15">
        <f>SUM_HEX(C2126:F2126,B2126,3)</f>
        <v>448</v>
      </c>
      <c r="C2127" s="16" t="s">
        <v>23</v>
      </c>
      <c r="D2127" s="16" t="s">
        <v>23</v>
      </c>
      <c r="E2127" s="16" t="s">
        <v>23</v>
      </c>
      <c r="F2127" s="16"/>
      <c r="G2127" s="47"/>
      <c r="H2127" s="47"/>
      <c r="I2127" s="18"/>
      <c r="J2127" s="18"/>
      <c r="K2127" s="18"/>
      <c r="L2127" s="25"/>
    </row>
    <row r="2128" customHeight="1" spans="1:12">
      <c r="A2128" s="14" t="str">
        <f t="shared" si="42"/>
        <v>0x000001CC</v>
      </c>
      <c r="B2128" s="15">
        <f>SUM_HEX(C2127:F2127,B2127,3)</f>
        <v>460</v>
      </c>
      <c r="C2128" s="16" t="s">
        <v>274</v>
      </c>
      <c r="D2128" s="16"/>
      <c r="E2128" s="16"/>
      <c r="F2128" s="16"/>
      <c r="G2128" s="48"/>
      <c r="H2128" s="48"/>
      <c r="I2128" s="18"/>
      <c r="J2128" s="18"/>
      <c r="K2128" s="18"/>
      <c r="L2128" s="25"/>
    </row>
    <row r="2129" customHeight="1" spans="1:12">
      <c r="A2129" s="14" t="str">
        <f t="shared" si="42"/>
        <v>0x000001D0</v>
      </c>
      <c r="B2129" s="15">
        <f>SUM_HEX(C2128:F2128,B2128,3)</f>
        <v>464</v>
      </c>
      <c r="C2129" s="16" t="s">
        <v>23</v>
      </c>
      <c r="D2129" s="16"/>
      <c r="E2129" s="16"/>
      <c r="F2129" s="16"/>
      <c r="G2129" s="46" t="s">
        <v>157</v>
      </c>
      <c r="H2129" s="46" t="s">
        <v>326</v>
      </c>
      <c r="I2129" s="24" t="s">
        <v>363</v>
      </c>
      <c r="J2129" s="18"/>
      <c r="K2129" s="18"/>
      <c r="L2129" s="25" t="s">
        <v>272</v>
      </c>
    </row>
    <row r="2130" customHeight="1" spans="1:12">
      <c r="A2130" s="14" t="str">
        <f t="shared" si="42"/>
        <v>0x000001D4</v>
      </c>
      <c r="B2130" s="15">
        <f>SUM_HEX(C2129:F2129,B2129,3)</f>
        <v>468</v>
      </c>
      <c r="C2130" s="16" t="s">
        <v>364</v>
      </c>
      <c r="D2130" s="16"/>
      <c r="E2130" s="16"/>
      <c r="F2130" s="16"/>
      <c r="G2130" s="47"/>
      <c r="H2130" s="47"/>
      <c r="I2130" s="18"/>
      <c r="J2130" s="18"/>
      <c r="K2130" s="18"/>
      <c r="L2130" s="25"/>
    </row>
    <row r="2131" customHeight="1" spans="1:12">
      <c r="A2131" s="14" t="str">
        <f t="shared" si="42"/>
        <v>0x000001D8</v>
      </c>
      <c r="B2131" s="15">
        <f>SUM_HEX(C2130:F2130,B2130,3)</f>
        <v>472</v>
      </c>
      <c r="C2131" s="16" t="s">
        <v>330</v>
      </c>
      <c r="D2131" s="16" t="s">
        <v>330</v>
      </c>
      <c r="E2131" s="16" t="s">
        <v>330</v>
      </c>
      <c r="F2131" s="16"/>
      <c r="G2131" s="47"/>
      <c r="H2131" s="47"/>
      <c r="I2131" s="18"/>
      <c r="J2131" s="18"/>
      <c r="K2131" s="18"/>
      <c r="L2131" s="25"/>
    </row>
    <row r="2132" customHeight="1" spans="1:12">
      <c r="A2132" s="14" t="str">
        <f t="shared" si="42"/>
        <v>0x000001E4</v>
      </c>
      <c r="B2132" s="15">
        <f>SUM_HEX(C2131:F2131,B2131,3)</f>
        <v>484</v>
      </c>
      <c r="C2132" s="16" t="s">
        <v>23</v>
      </c>
      <c r="D2132" s="16" t="s">
        <v>23</v>
      </c>
      <c r="E2132" s="16" t="s">
        <v>23</v>
      </c>
      <c r="F2132" s="16"/>
      <c r="G2132" s="47"/>
      <c r="H2132" s="47"/>
      <c r="I2132" s="18"/>
      <c r="J2132" s="18"/>
      <c r="K2132" s="18"/>
      <c r="L2132" s="25"/>
    </row>
    <row r="2133" customHeight="1" spans="1:12">
      <c r="A2133" s="14" t="str">
        <f t="shared" si="42"/>
        <v>0x000001F0</v>
      </c>
      <c r="B2133" s="15">
        <f>SUM_HEX(C2132:F2132,B2132,3)</f>
        <v>496</v>
      </c>
      <c r="C2133" s="16" t="s">
        <v>274</v>
      </c>
      <c r="D2133" s="16"/>
      <c r="E2133" s="16"/>
      <c r="F2133" s="16"/>
      <c r="G2133" s="48"/>
      <c r="H2133" s="48"/>
      <c r="I2133" s="18"/>
      <c r="J2133" s="18"/>
      <c r="K2133" s="18"/>
      <c r="L2133" s="25"/>
    </row>
    <row r="2134" customHeight="1" spans="1:12">
      <c r="A2134" s="14" t="str">
        <f t="shared" si="42"/>
        <v>0x000001F4</v>
      </c>
      <c r="B2134" s="15">
        <f>SUM_HEX(C2133:F2133,B2133,3)</f>
        <v>500</v>
      </c>
      <c r="C2134" s="16" t="s">
        <v>23</v>
      </c>
      <c r="D2134" s="16"/>
      <c r="E2134" s="16"/>
      <c r="F2134" s="16"/>
      <c r="G2134" s="46" t="s">
        <v>157</v>
      </c>
      <c r="H2134" s="46" t="s">
        <v>212</v>
      </c>
      <c r="I2134" s="18" t="s">
        <v>365</v>
      </c>
      <c r="J2134" s="18"/>
      <c r="K2134" s="18"/>
      <c r="L2134" s="25" t="s">
        <v>272</v>
      </c>
    </row>
    <row r="2135" customHeight="1" spans="1:12">
      <c r="A2135" s="14" t="str">
        <f t="shared" si="42"/>
        <v>0x000001F8</v>
      </c>
      <c r="B2135" s="15">
        <f>SUM_HEX(C2134:F2134,B2134,3)</f>
        <v>504</v>
      </c>
      <c r="C2135" s="16" t="s">
        <v>366</v>
      </c>
      <c r="D2135" s="16"/>
      <c r="E2135" s="16"/>
      <c r="F2135" s="16"/>
      <c r="G2135" s="47"/>
      <c r="H2135" s="47"/>
      <c r="I2135" s="18"/>
      <c r="J2135" s="18"/>
      <c r="K2135" s="18"/>
      <c r="L2135" s="25"/>
    </row>
    <row r="2136" customHeight="1" spans="1:12">
      <c r="A2136" s="14" t="str">
        <f t="shared" si="42"/>
        <v>0x000001FC</v>
      </c>
      <c r="B2136" s="15">
        <f>SUM_HEX(C2135:F2135,B2135,3)</f>
        <v>508</v>
      </c>
      <c r="C2136" s="16" t="s">
        <v>330</v>
      </c>
      <c r="D2136" s="16" t="s">
        <v>23</v>
      </c>
      <c r="E2136" s="16"/>
      <c r="F2136" s="16"/>
      <c r="G2136" s="47"/>
      <c r="H2136" s="47"/>
      <c r="I2136" s="18"/>
      <c r="J2136" s="18"/>
      <c r="K2136" s="18"/>
      <c r="L2136" s="25"/>
    </row>
    <row r="2137" customHeight="1" spans="1:12">
      <c r="A2137" s="14" t="str">
        <f t="shared" si="42"/>
        <v>0x00000204</v>
      </c>
      <c r="B2137" s="15">
        <f>SUM_HEX(C2136:F2136,B2136,3)</f>
        <v>516</v>
      </c>
      <c r="C2137" s="16" t="s">
        <v>274</v>
      </c>
      <c r="D2137" s="16"/>
      <c r="E2137" s="16"/>
      <c r="F2137" s="16"/>
      <c r="G2137" s="48"/>
      <c r="H2137" s="48"/>
      <c r="I2137" s="18"/>
      <c r="J2137" s="18"/>
      <c r="K2137" s="18"/>
      <c r="L2137" s="25"/>
    </row>
    <row r="2138" customHeight="1" spans="1:12">
      <c r="A2138" s="14" t="str">
        <f t="shared" si="42"/>
        <v>0x00000208</v>
      </c>
      <c r="B2138" s="15">
        <f>SUM_HEX(C2137:F2137,B2137,3)</f>
        <v>520</v>
      </c>
      <c r="C2138" s="16" t="s">
        <v>23</v>
      </c>
      <c r="D2138" s="16"/>
      <c r="E2138" s="16"/>
      <c r="F2138" s="16"/>
      <c r="G2138" s="46" t="s">
        <v>157</v>
      </c>
      <c r="H2138" s="46" t="s">
        <v>212</v>
      </c>
      <c r="I2138" s="18" t="s">
        <v>367</v>
      </c>
      <c r="J2138" s="18"/>
      <c r="K2138" s="18"/>
      <c r="L2138" s="25" t="s">
        <v>272</v>
      </c>
    </row>
    <row r="2139" customHeight="1" spans="1:12">
      <c r="A2139" s="14" t="str">
        <f t="shared" si="42"/>
        <v>0x0000020C</v>
      </c>
      <c r="B2139" s="15">
        <f>SUM_HEX(C2138:F2138,B2138,3)</f>
        <v>524</v>
      </c>
      <c r="C2139" s="16" t="s">
        <v>368</v>
      </c>
      <c r="D2139" s="16"/>
      <c r="E2139" s="16"/>
      <c r="F2139" s="16"/>
      <c r="G2139" s="47"/>
      <c r="H2139" s="47"/>
      <c r="I2139" s="18"/>
      <c r="J2139" s="18"/>
      <c r="K2139" s="18"/>
      <c r="L2139" s="25"/>
    </row>
    <row r="2140" customHeight="1" spans="1:12">
      <c r="A2140" s="14" t="str">
        <f t="shared" si="42"/>
        <v>0x00000210</v>
      </c>
      <c r="B2140" s="15">
        <f>SUM_HEX(C2139:F2139,B2139,3)</f>
        <v>528</v>
      </c>
      <c r="C2140" s="16" t="s">
        <v>330</v>
      </c>
      <c r="D2140" s="16" t="s">
        <v>23</v>
      </c>
      <c r="E2140" s="16"/>
      <c r="F2140" s="16"/>
      <c r="G2140" s="47"/>
      <c r="H2140" s="47"/>
      <c r="I2140" s="18"/>
      <c r="J2140" s="18"/>
      <c r="K2140" s="18"/>
      <c r="L2140" s="25"/>
    </row>
    <row r="2141" customHeight="1" spans="1:12">
      <c r="A2141" s="14" t="str">
        <f t="shared" si="42"/>
        <v>0x00000218</v>
      </c>
      <c r="B2141" s="15">
        <f>SUM_HEX(C2140:F2140,B2140,3)</f>
        <v>536</v>
      </c>
      <c r="C2141" s="16" t="s">
        <v>274</v>
      </c>
      <c r="D2141" s="16"/>
      <c r="E2141" s="16"/>
      <c r="F2141" s="16"/>
      <c r="G2141" s="48"/>
      <c r="H2141" s="48"/>
      <c r="I2141" s="18"/>
      <c r="J2141" s="18"/>
      <c r="K2141" s="18"/>
      <c r="L2141" s="25"/>
    </row>
    <row r="2142" customHeight="1" spans="1:12">
      <c r="A2142" s="14" t="str">
        <f t="shared" si="42"/>
        <v>0x0000021C</v>
      </c>
      <c r="B2142" s="15">
        <f>SUM_HEX(C2141:F2141,B2141,3)</f>
        <v>540</v>
      </c>
      <c r="C2142" s="16" t="s">
        <v>23</v>
      </c>
      <c r="D2142" s="16" t="s">
        <v>23</v>
      </c>
      <c r="E2142" s="16" t="s">
        <v>23</v>
      </c>
      <c r="F2142" s="16"/>
      <c r="G2142" s="18" t="s">
        <v>24</v>
      </c>
      <c r="H2142" s="18" t="s">
        <v>536</v>
      </c>
      <c r="I2142" s="24" t="s">
        <v>370</v>
      </c>
      <c r="J2142" s="18"/>
      <c r="K2142" s="18"/>
      <c r="L2142" s="25"/>
    </row>
    <row r="2143" customHeight="1" spans="1:12">
      <c r="A2143" s="14" t="str">
        <f t="shared" si="42"/>
        <v>0x00000228</v>
      </c>
      <c r="B2143" s="15">
        <f>SUM_HEX(C2142:F2142,B2142,3)</f>
        <v>552</v>
      </c>
      <c r="C2143" s="16" t="s">
        <v>23</v>
      </c>
      <c r="D2143" s="16"/>
      <c r="E2143" s="16"/>
      <c r="F2143" s="16"/>
      <c r="G2143" s="18" t="s">
        <v>15</v>
      </c>
      <c r="H2143" s="18"/>
      <c r="I2143" s="24" t="s">
        <v>371</v>
      </c>
      <c r="J2143" s="18"/>
      <c r="K2143" s="18" t="s">
        <v>372</v>
      </c>
      <c r="L2143" s="25"/>
    </row>
    <row r="2144" customHeight="1" spans="1:12">
      <c r="A2144" s="14" t="str">
        <f t="shared" si="42"/>
        <v>0x0000022C</v>
      </c>
      <c r="B2144" s="15">
        <f>SUM_HEX(C2143:F2143,B2143,3)</f>
        <v>556</v>
      </c>
      <c r="C2144" s="16" t="s">
        <v>23</v>
      </c>
      <c r="D2144" s="16"/>
      <c r="E2144" s="16"/>
      <c r="F2144" s="16"/>
      <c r="G2144" s="18" t="s">
        <v>15</v>
      </c>
      <c r="H2144" s="18"/>
      <c r="I2144" s="24" t="s">
        <v>373</v>
      </c>
      <c r="J2144" s="18"/>
      <c r="K2144" s="18" t="s">
        <v>318</v>
      </c>
      <c r="L2144" s="25" t="s">
        <v>374</v>
      </c>
    </row>
    <row r="2145" customHeight="1" spans="1:12">
      <c r="A2145" s="14" t="str">
        <f t="shared" si="42"/>
        <v>0x00000230</v>
      </c>
      <c r="B2145" s="15">
        <f>SUM_HEX(C2144:F2144,B2144,3)</f>
        <v>560</v>
      </c>
      <c r="C2145" s="16" t="s">
        <v>23</v>
      </c>
      <c r="D2145" s="16"/>
      <c r="E2145" s="16"/>
      <c r="F2145" s="16"/>
      <c r="G2145" s="46" t="s">
        <v>157</v>
      </c>
      <c r="H2145" s="46" t="s">
        <v>326</v>
      </c>
      <c r="I2145" s="24" t="s">
        <v>375</v>
      </c>
      <c r="J2145" s="18"/>
      <c r="K2145" s="18" t="s">
        <v>328</v>
      </c>
      <c r="L2145" s="25" t="s">
        <v>272</v>
      </c>
    </row>
    <row r="2146" customHeight="1" spans="1:12">
      <c r="A2146" s="14" t="str">
        <f t="shared" si="42"/>
        <v>0x00000234</v>
      </c>
      <c r="B2146" s="15">
        <f>SUM_HEX(C2145:F2145,B2145,3)</f>
        <v>564</v>
      </c>
      <c r="C2146" s="16" t="s">
        <v>376</v>
      </c>
      <c r="D2146" s="16"/>
      <c r="E2146" s="16"/>
      <c r="F2146" s="16"/>
      <c r="G2146" s="47"/>
      <c r="H2146" s="47"/>
      <c r="I2146" s="18"/>
      <c r="J2146" s="18"/>
      <c r="K2146" s="18"/>
      <c r="L2146" s="25"/>
    </row>
    <row r="2147" customHeight="1" spans="1:12">
      <c r="A2147" s="14" t="str">
        <f t="shared" si="42"/>
        <v>0x00000238</v>
      </c>
      <c r="B2147" s="15">
        <f>SUM_HEX(C2146:F2146,B2146,3)</f>
        <v>568</v>
      </c>
      <c r="C2147" s="16" t="s">
        <v>330</v>
      </c>
      <c r="D2147" s="16" t="s">
        <v>330</v>
      </c>
      <c r="E2147" s="16" t="s">
        <v>330</v>
      </c>
      <c r="F2147" s="16"/>
      <c r="G2147" s="47"/>
      <c r="H2147" s="47"/>
      <c r="I2147" s="18"/>
      <c r="J2147" s="18"/>
      <c r="K2147" s="18"/>
      <c r="L2147" s="25"/>
    </row>
    <row r="2148" customHeight="1" spans="1:12">
      <c r="A2148" s="14" t="str">
        <f t="shared" si="42"/>
        <v>0x00000244</v>
      </c>
      <c r="B2148" s="15">
        <f>SUM_HEX(C2147:F2147,B2147,3)</f>
        <v>580</v>
      </c>
      <c r="C2148" s="16" t="s">
        <v>23</v>
      </c>
      <c r="D2148" s="16" t="s">
        <v>23</v>
      </c>
      <c r="E2148" s="16" t="s">
        <v>23</v>
      </c>
      <c r="F2148" s="16"/>
      <c r="G2148" s="47"/>
      <c r="H2148" s="47"/>
      <c r="I2148" s="18"/>
      <c r="J2148" s="18"/>
      <c r="K2148" s="18"/>
      <c r="L2148" s="25"/>
    </row>
    <row r="2149" customHeight="1" spans="1:12">
      <c r="A2149" s="14" t="str">
        <f t="shared" si="42"/>
        <v>0x00000250</v>
      </c>
      <c r="B2149" s="15">
        <f>SUM_HEX(C2148:F2148,B2148,3)</f>
        <v>592</v>
      </c>
      <c r="C2149" s="16" t="s">
        <v>274</v>
      </c>
      <c r="D2149" s="16"/>
      <c r="E2149" s="16"/>
      <c r="F2149" s="16"/>
      <c r="G2149" s="48"/>
      <c r="H2149" s="48"/>
      <c r="I2149" s="18"/>
      <c r="J2149" s="18"/>
      <c r="K2149" s="18"/>
      <c r="L2149" s="25"/>
    </row>
    <row r="2150" customHeight="1" spans="1:12">
      <c r="A2150" s="14" t="str">
        <f t="shared" si="42"/>
        <v>0x00000254</v>
      </c>
      <c r="B2150" s="15">
        <f>SUM_HEX(C2149:F2149,B2149,3)</f>
        <v>596</v>
      </c>
      <c r="C2150" s="16" t="s">
        <v>23</v>
      </c>
      <c r="D2150" s="16"/>
      <c r="E2150" s="16"/>
      <c r="F2150" s="16"/>
      <c r="G2150" s="18" t="s">
        <v>15</v>
      </c>
      <c r="H2150" s="18"/>
      <c r="I2150" s="24" t="s">
        <v>377</v>
      </c>
      <c r="J2150" s="18"/>
      <c r="K2150" s="18" t="s">
        <v>318</v>
      </c>
      <c r="L2150" s="25" t="s">
        <v>374</v>
      </c>
    </row>
    <row r="2151" customHeight="1" spans="1:12">
      <c r="A2151" s="14" t="str">
        <f t="shared" si="42"/>
        <v>0x00000258</v>
      </c>
      <c r="B2151" s="15">
        <f>SUM_HEX(C2150:F2150,B2150,3)</f>
        <v>600</v>
      </c>
      <c r="C2151" s="16" t="s">
        <v>23</v>
      </c>
      <c r="D2151" s="16"/>
      <c r="E2151" s="16"/>
      <c r="F2151" s="16"/>
      <c r="G2151" s="46" t="s">
        <v>157</v>
      </c>
      <c r="H2151" s="46" t="s">
        <v>326</v>
      </c>
      <c r="I2151" s="24" t="s">
        <v>378</v>
      </c>
      <c r="J2151" s="18"/>
      <c r="K2151" s="18" t="s">
        <v>332</v>
      </c>
      <c r="L2151" s="25" t="s">
        <v>333</v>
      </c>
    </row>
    <row r="2152" customHeight="1" spans="1:12">
      <c r="A2152" s="14" t="str">
        <f t="shared" si="42"/>
        <v>0x0000025C</v>
      </c>
      <c r="B2152" s="15">
        <f>SUM_HEX(C2151:F2151,B2151,3)</f>
        <v>604</v>
      </c>
      <c r="C2152" s="16" t="s">
        <v>379</v>
      </c>
      <c r="D2152" s="16"/>
      <c r="E2152" s="16"/>
      <c r="F2152" s="16"/>
      <c r="G2152" s="47"/>
      <c r="H2152" s="47"/>
      <c r="I2152" s="18"/>
      <c r="J2152" s="18"/>
      <c r="K2152" s="18"/>
      <c r="L2152" s="25"/>
    </row>
    <row r="2153" customHeight="1" spans="1:12">
      <c r="A2153" s="14" t="str">
        <f t="shared" si="42"/>
        <v>0x00000260</v>
      </c>
      <c r="B2153" s="15">
        <f>SUM_HEX(C2152:F2152,B2152,3)</f>
        <v>608</v>
      </c>
      <c r="C2153" s="16" t="s">
        <v>23</v>
      </c>
      <c r="D2153" s="16" t="s">
        <v>23</v>
      </c>
      <c r="E2153" s="16" t="s">
        <v>23</v>
      </c>
      <c r="F2153" s="16"/>
      <c r="G2153" s="47"/>
      <c r="H2153" s="47"/>
      <c r="I2153" s="18"/>
      <c r="J2153" s="18"/>
      <c r="K2153" s="18"/>
      <c r="L2153" s="25"/>
    </row>
    <row r="2154" customHeight="1" spans="1:12">
      <c r="A2154" s="14" t="str">
        <f t="shared" si="42"/>
        <v>0x0000026C</v>
      </c>
      <c r="B2154" s="15">
        <f>SUM_HEX(C2153:F2153,B2153,3)</f>
        <v>620</v>
      </c>
      <c r="C2154" s="16" t="s">
        <v>23</v>
      </c>
      <c r="D2154" s="16" t="s">
        <v>23</v>
      </c>
      <c r="E2154" s="16" t="s">
        <v>23</v>
      </c>
      <c r="F2154" s="16"/>
      <c r="G2154" s="47"/>
      <c r="H2154" s="47"/>
      <c r="I2154" s="18"/>
      <c r="J2154" s="18"/>
      <c r="K2154" s="18"/>
      <c r="L2154" s="25"/>
    </row>
    <row r="2155" customHeight="1" spans="1:12">
      <c r="A2155" s="14" t="str">
        <f t="shared" si="42"/>
        <v>0x00000278</v>
      </c>
      <c r="B2155" s="15">
        <f>SUM_HEX(C2154:F2154,B2154,3)</f>
        <v>632</v>
      </c>
      <c r="C2155" s="16" t="s">
        <v>274</v>
      </c>
      <c r="D2155" s="16"/>
      <c r="E2155" s="16"/>
      <c r="F2155" s="16"/>
      <c r="G2155" s="48"/>
      <c r="H2155" s="48"/>
      <c r="I2155" s="18"/>
      <c r="J2155" s="18"/>
      <c r="K2155" s="18"/>
      <c r="L2155" s="25"/>
    </row>
    <row r="2156" customHeight="1" spans="1:12">
      <c r="A2156" s="14" t="str">
        <f t="shared" si="42"/>
        <v>0x0000027C</v>
      </c>
      <c r="B2156" s="15">
        <f>SUM_HEX(C2155:F2155,B2155,3)</f>
        <v>636</v>
      </c>
      <c r="C2156" s="16" t="s">
        <v>23</v>
      </c>
      <c r="D2156" s="16"/>
      <c r="E2156" s="16"/>
      <c r="F2156" s="16"/>
      <c r="G2156" s="18" t="s">
        <v>15</v>
      </c>
      <c r="H2156" s="18"/>
      <c r="I2156" s="24" t="s">
        <v>380</v>
      </c>
      <c r="J2156" s="18"/>
      <c r="K2156" s="18" t="s">
        <v>318</v>
      </c>
      <c r="L2156" s="25" t="s">
        <v>374</v>
      </c>
    </row>
    <row r="2157" customHeight="1" spans="1:12">
      <c r="A2157" s="14" t="str">
        <f t="shared" si="42"/>
        <v>0x00000280</v>
      </c>
      <c r="B2157" s="15">
        <f>SUM_HEX(C2156:F2156,B2156,3)</f>
        <v>640</v>
      </c>
      <c r="C2157" s="16" t="s">
        <v>23</v>
      </c>
      <c r="D2157" s="16"/>
      <c r="E2157" s="16"/>
      <c r="F2157" s="16"/>
      <c r="G2157" s="46" t="s">
        <v>157</v>
      </c>
      <c r="H2157" s="46" t="s">
        <v>335</v>
      </c>
      <c r="I2157" s="24" t="s">
        <v>381</v>
      </c>
      <c r="J2157" s="18"/>
      <c r="K2157" s="18" t="s">
        <v>337</v>
      </c>
      <c r="L2157" s="25"/>
    </row>
    <row r="2158" customHeight="1" spans="1:12">
      <c r="A2158" s="14" t="str">
        <f t="shared" si="42"/>
        <v>0x00000284</v>
      </c>
      <c r="B2158" s="15">
        <f>SUM_HEX(C2157:F2157,B2157,3)</f>
        <v>644</v>
      </c>
      <c r="C2158" s="16" t="s">
        <v>382</v>
      </c>
      <c r="D2158" s="16"/>
      <c r="E2158" s="16"/>
      <c r="F2158" s="16"/>
      <c r="G2158" s="47"/>
      <c r="H2158" s="47"/>
      <c r="I2158" s="18"/>
      <c r="J2158" s="18"/>
      <c r="K2158" s="18"/>
      <c r="L2158" s="25"/>
    </row>
    <row r="2159" customHeight="1" spans="1:12">
      <c r="A2159" s="14" t="str">
        <f t="shared" si="42"/>
        <v>0x00000288</v>
      </c>
      <c r="B2159" s="15">
        <f>SUM_HEX(C2158:F2158,B2158,3)</f>
        <v>648</v>
      </c>
      <c r="C2159" s="16" t="s">
        <v>274</v>
      </c>
      <c r="D2159" s="16" t="s">
        <v>23</v>
      </c>
      <c r="E2159" s="16"/>
      <c r="F2159" s="16"/>
      <c r="G2159" s="47"/>
      <c r="H2159" s="47"/>
      <c r="I2159" s="18"/>
      <c r="J2159" s="18"/>
      <c r="K2159" s="18"/>
      <c r="L2159" s="25"/>
    </row>
    <row r="2160" customHeight="1" spans="1:12">
      <c r="A2160" s="14" t="str">
        <f t="shared" si="42"/>
        <v>0x00000290</v>
      </c>
      <c r="B2160" s="15">
        <f>SUM_HEX(C2159:F2159,B2159,3)</f>
        <v>656</v>
      </c>
      <c r="C2160" s="16" t="s">
        <v>274</v>
      </c>
      <c r="D2160" s="16"/>
      <c r="E2160" s="16"/>
      <c r="F2160" s="16"/>
      <c r="G2160" s="48"/>
      <c r="H2160" s="48"/>
      <c r="I2160" s="18"/>
      <c r="J2160" s="18"/>
      <c r="K2160" s="18"/>
      <c r="L2160" s="25"/>
    </row>
    <row r="2161" customHeight="1" spans="1:12">
      <c r="A2161" s="14" t="str">
        <f t="shared" si="42"/>
        <v>0x00000294</v>
      </c>
      <c r="B2161" s="15">
        <f>SUM_HEX(C2160:F2160,B2160,3)</f>
        <v>660</v>
      </c>
      <c r="C2161" s="16" t="s">
        <v>23</v>
      </c>
      <c r="D2161" s="16"/>
      <c r="E2161" s="16"/>
      <c r="F2161" s="16"/>
      <c r="G2161" s="46" t="s">
        <v>157</v>
      </c>
      <c r="H2161" s="46" t="s">
        <v>335</v>
      </c>
      <c r="I2161" s="24" t="s">
        <v>383</v>
      </c>
      <c r="J2161" s="18"/>
      <c r="K2161" s="18" t="s">
        <v>337</v>
      </c>
      <c r="L2161" s="25"/>
    </row>
    <row r="2162" customHeight="1" spans="1:12">
      <c r="A2162" s="14" t="str">
        <f t="shared" si="42"/>
        <v>0x00000298</v>
      </c>
      <c r="B2162" s="15">
        <f>SUM_HEX(C2161:F2161,B2161,3)</f>
        <v>664</v>
      </c>
      <c r="C2162" s="16" t="s">
        <v>384</v>
      </c>
      <c r="D2162" s="16"/>
      <c r="E2162" s="16"/>
      <c r="F2162" s="16"/>
      <c r="G2162" s="47"/>
      <c r="H2162" s="47"/>
      <c r="I2162" s="18"/>
      <c r="J2162" s="18"/>
      <c r="K2162" s="18"/>
      <c r="L2162" s="25"/>
    </row>
    <row r="2163" customHeight="1" spans="1:12">
      <c r="A2163" s="14" t="str">
        <f t="shared" si="42"/>
        <v>0x0000029C</v>
      </c>
      <c r="B2163" s="15">
        <f>SUM_HEX(C2162:F2162,B2162,3)</f>
        <v>668</v>
      </c>
      <c r="C2163" s="16" t="s">
        <v>274</v>
      </c>
      <c r="D2163" s="16" t="s">
        <v>23</v>
      </c>
      <c r="E2163" s="16"/>
      <c r="F2163" s="16"/>
      <c r="G2163" s="47"/>
      <c r="H2163" s="47"/>
      <c r="I2163" s="18"/>
      <c r="J2163" s="18"/>
      <c r="K2163" s="18"/>
      <c r="L2163" s="25"/>
    </row>
    <row r="2164" customHeight="1" spans="1:12">
      <c r="A2164" s="14" t="str">
        <f t="shared" si="42"/>
        <v>0x000002A4</v>
      </c>
      <c r="B2164" s="15">
        <f>SUM_HEX(C2163:F2163,B2163,3)</f>
        <v>676</v>
      </c>
      <c r="C2164" s="16" t="s">
        <v>274</v>
      </c>
      <c r="D2164" s="16"/>
      <c r="E2164" s="16"/>
      <c r="F2164" s="16"/>
      <c r="G2164" s="48"/>
      <c r="H2164" s="48"/>
      <c r="I2164" s="18"/>
      <c r="J2164" s="18"/>
      <c r="K2164" s="18"/>
      <c r="L2164" s="25"/>
    </row>
    <row r="2165" customHeight="1" spans="1:12">
      <c r="A2165" s="14" t="str">
        <f t="shared" si="42"/>
        <v>0x000002A8</v>
      </c>
      <c r="B2165" s="15">
        <f>SUM_HEX(C2164:F2164,B2164,3)</f>
        <v>680</v>
      </c>
      <c r="C2165" s="16" t="s">
        <v>23</v>
      </c>
      <c r="D2165" s="16"/>
      <c r="E2165" s="16"/>
      <c r="F2165" s="16"/>
      <c r="G2165" s="46" t="s">
        <v>157</v>
      </c>
      <c r="H2165" s="46" t="s">
        <v>335</v>
      </c>
      <c r="I2165" s="24" t="s">
        <v>385</v>
      </c>
      <c r="J2165" s="18"/>
      <c r="K2165" s="18" t="s">
        <v>337</v>
      </c>
      <c r="L2165" s="25"/>
    </row>
    <row r="2166" customHeight="1" spans="1:12">
      <c r="A2166" s="14" t="str">
        <f t="shared" si="42"/>
        <v>0x000002AC</v>
      </c>
      <c r="B2166" s="15">
        <f>SUM_HEX(C2165:F2165,B2165,3)</f>
        <v>684</v>
      </c>
      <c r="C2166" s="16" t="s">
        <v>386</v>
      </c>
      <c r="D2166" s="16"/>
      <c r="E2166" s="16"/>
      <c r="F2166" s="16"/>
      <c r="G2166" s="47"/>
      <c r="H2166" s="47"/>
      <c r="I2166" s="18"/>
      <c r="J2166" s="18"/>
      <c r="K2166" s="18"/>
      <c r="L2166" s="25"/>
    </row>
    <row r="2167" customHeight="1" spans="1:12">
      <c r="A2167" s="14" t="str">
        <f t="shared" si="42"/>
        <v>0x000002B0</v>
      </c>
      <c r="B2167" s="15">
        <f>SUM_HEX(C2166:F2166,B2166,3)</f>
        <v>688</v>
      </c>
      <c r="C2167" s="16" t="s">
        <v>274</v>
      </c>
      <c r="D2167" s="16" t="s">
        <v>23</v>
      </c>
      <c r="E2167" s="16"/>
      <c r="F2167" s="16"/>
      <c r="G2167" s="47"/>
      <c r="H2167" s="47"/>
      <c r="I2167" s="18"/>
      <c r="J2167" s="18"/>
      <c r="K2167" s="18"/>
      <c r="L2167" s="25"/>
    </row>
    <row r="2168" customHeight="1" spans="1:12">
      <c r="A2168" s="14" t="str">
        <f t="shared" si="42"/>
        <v>0x000002B8</v>
      </c>
      <c r="B2168" s="15">
        <f>SUM_HEX(C2167:F2167,B2167,3)</f>
        <v>696</v>
      </c>
      <c r="C2168" s="16" t="s">
        <v>274</v>
      </c>
      <c r="D2168" s="16"/>
      <c r="E2168" s="16"/>
      <c r="F2168" s="16"/>
      <c r="G2168" s="48"/>
      <c r="H2168" s="48"/>
      <c r="I2168" s="18"/>
      <c r="J2168" s="18"/>
      <c r="K2168" s="18"/>
      <c r="L2168" s="25"/>
    </row>
    <row r="2169" customHeight="1" spans="1:12">
      <c r="A2169" s="14" t="str">
        <f t="shared" si="42"/>
        <v>0x000002BC</v>
      </c>
      <c r="B2169" s="15">
        <f>SUM_HEX(C2168:F2168,B2168,3)</f>
        <v>700</v>
      </c>
      <c r="C2169" s="16" t="s">
        <v>23</v>
      </c>
      <c r="D2169" s="16"/>
      <c r="E2169" s="16"/>
      <c r="F2169" s="16"/>
      <c r="G2169" s="18" t="s">
        <v>15</v>
      </c>
      <c r="H2169" s="18"/>
      <c r="I2169" s="24" t="s">
        <v>387</v>
      </c>
      <c r="J2169" s="18"/>
      <c r="K2169" s="18" t="s">
        <v>318</v>
      </c>
      <c r="L2169" s="25" t="s">
        <v>374</v>
      </c>
    </row>
    <row r="2170" customHeight="1" spans="1:12">
      <c r="A2170" s="14" t="str">
        <f t="shared" ref="A2170:A2233" si="43">"0x"&amp;DEC2HEX(B2170,8)</f>
        <v>0x000002C0</v>
      </c>
      <c r="B2170" s="15">
        <f>SUM_HEX(C2169:F2169,B2169,3)</f>
        <v>704</v>
      </c>
      <c r="C2170" s="16" t="s">
        <v>23</v>
      </c>
      <c r="D2170" s="16"/>
      <c r="E2170" s="16"/>
      <c r="F2170" s="16"/>
      <c r="G2170" s="46" t="s">
        <v>157</v>
      </c>
      <c r="H2170" s="46" t="s">
        <v>388</v>
      </c>
      <c r="I2170" s="18" t="s">
        <v>389</v>
      </c>
      <c r="J2170" s="18"/>
      <c r="K2170" s="18"/>
      <c r="L2170" s="25"/>
    </row>
    <row r="2171" customHeight="1" spans="1:12">
      <c r="A2171" s="14" t="str">
        <f t="shared" si="43"/>
        <v>0x000002C4</v>
      </c>
      <c r="B2171" s="15">
        <f>SUM_HEX(C2170:F2170,B2170,3)</f>
        <v>708</v>
      </c>
      <c r="C2171" s="16" t="s">
        <v>390</v>
      </c>
      <c r="D2171" s="16"/>
      <c r="E2171" s="16"/>
      <c r="F2171" s="16"/>
      <c r="G2171" s="47"/>
      <c r="H2171" s="47"/>
      <c r="I2171" s="18"/>
      <c r="J2171" s="18"/>
      <c r="K2171" s="18"/>
      <c r="L2171" s="25"/>
    </row>
    <row r="2172" customHeight="1" spans="1:12">
      <c r="A2172" s="14" t="str">
        <f t="shared" si="43"/>
        <v>0x000002C8</v>
      </c>
      <c r="B2172" s="15">
        <f>SUM_HEX(C2171:F2171,B2171,3)</f>
        <v>712</v>
      </c>
      <c r="C2172" s="16" t="s">
        <v>391</v>
      </c>
      <c r="D2172" s="16" t="s">
        <v>391</v>
      </c>
      <c r="E2172" s="16"/>
      <c r="F2172" s="16"/>
      <c r="G2172" s="47"/>
      <c r="H2172" s="47"/>
      <c r="I2172" s="18"/>
      <c r="J2172" s="18"/>
      <c r="K2172" s="18"/>
      <c r="L2172" s="25"/>
    </row>
    <row r="2173" customHeight="1" spans="1:12">
      <c r="A2173" s="14" t="str">
        <f t="shared" si="43"/>
        <v>0x000002CC</v>
      </c>
      <c r="B2173" s="15">
        <f>SUM_HEX(C2172:F2172,B2172,3)</f>
        <v>716</v>
      </c>
      <c r="C2173" s="16" t="s">
        <v>274</v>
      </c>
      <c r="D2173" s="16"/>
      <c r="E2173" s="16"/>
      <c r="F2173" s="16"/>
      <c r="G2173" s="48"/>
      <c r="H2173" s="48"/>
      <c r="I2173" s="18"/>
      <c r="J2173" s="18"/>
      <c r="K2173" s="18"/>
      <c r="L2173" s="25"/>
    </row>
    <row r="2174" customHeight="1" spans="1:12">
      <c r="A2174" s="14" t="str">
        <f t="shared" si="43"/>
        <v>0x000002D0</v>
      </c>
      <c r="B2174" s="15">
        <f>SUM_HEX(C2173:F2173,B2173,3)</f>
        <v>720</v>
      </c>
      <c r="C2174" s="16" t="s">
        <v>392</v>
      </c>
      <c r="D2174" s="16"/>
      <c r="E2174" s="16"/>
      <c r="F2174" s="16"/>
      <c r="G2174" s="18" t="s">
        <v>393</v>
      </c>
      <c r="H2174" s="18"/>
      <c r="I2174" s="24" t="s">
        <v>394</v>
      </c>
      <c r="J2174" s="18"/>
      <c r="K2174" s="18"/>
      <c r="L2174" s="25"/>
    </row>
    <row r="2175" customHeight="1" spans="1:12">
      <c r="A2175" s="14" t="str">
        <f t="shared" si="43"/>
        <v>0x000002D1</v>
      </c>
      <c r="B2175" s="15">
        <f>SUM_HEX(C2174:F2174,B2174,3)</f>
        <v>721</v>
      </c>
      <c r="C2175" s="16" t="s">
        <v>392</v>
      </c>
      <c r="D2175" s="16"/>
      <c r="E2175" s="16"/>
      <c r="F2175" s="16"/>
      <c r="G2175" s="18" t="s">
        <v>393</v>
      </c>
      <c r="H2175" s="18"/>
      <c r="I2175" s="24" t="s">
        <v>395</v>
      </c>
      <c r="J2175" s="18"/>
      <c r="K2175" s="18"/>
      <c r="L2175" s="25"/>
    </row>
    <row r="2176" customHeight="1" spans="1:12">
      <c r="A2176" s="14" t="str">
        <f t="shared" si="43"/>
        <v>0x000002D2</v>
      </c>
      <c r="B2176" s="15">
        <f>SUM_HEX(C2175:F2175,B2175,3)</f>
        <v>722</v>
      </c>
      <c r="C2176" s="16" t="s">
        <v>392</v>
      </c>
      <c r="D2176" s="16"/>
      <c r="E2176" s="16"/>
      <c r="F2176" s="16"/>
      <c r="G2176" s="18" t="s">
        <v>393</v>
      </c>
      <c r="H2176" s="18"/>
      <c r="I2176" s="24" t="s">
        <v>396</v>
      </c>
      <c r="J2176" s="18"/>
      <c r="K2176" s="18"/>
      <c r="L2176" s="25"/>
    </row>
    <row r="2177" customHeight="1" spans="1:12">
      <c r="A2177" s="14" t="str">
        <f t="shared" si="43"/>
        <v>0x000002D3</v>
      </c>
      <c r="B2177" s="15">
        <f>SUM_HEX(C2176:F2176,B2176,3)</f>
        <v>723</v>
      </c>
      <c r="C2177" s="16" t="s">
        <v>392</v>
      </c>
      <c r="D2177" s="16"/>
      <c r="E2177" s="16"/>
      <c r="F2177" s="16"/>
      <c r="G2177" s="17"/>
      <c r="H2177" s="17"/>
      <c r="I2177" s="22"/>
      <c r="J2177" s="17"/>
      <c r="K2177" s="17"/>
      <c r="L2177" s="23"/>
    </row>
    <row r="2178" customHeight="1" spans="1:12">
      <c r="A2178" s="14" t="str">
        <f t="shared" si="43"/>
        <v>0x000002D4</v>
      </c>
      <c r="B2178" s="15">
        <f>SUM_HEX(C2177:F2177,B2177,3)</f>
        <v>724</v>
      </c>
      <c r="C2178" s="16" t="s">
        <v>316</v>
      </c>
      <c r="D2178" s="16"/>
      <c r="E2178" s="16"/>
      <c r="F2178" s="16"/>
      <c r="G2178" s="18" t="s">
        <v>212</v>
      </c>
      <c r="H2178" s="18"/>
      <c r="I2178" s="24" t="s">
        <v>397</v>
      </c>
      <c r="J2178" s="18"/>
      <c r="K2178" s="18"/>
      <c r="L2178" s="25"/>
    </row>
    <row r="2179" customHeight="1" spans="1:12">
      <c r="A2179" s="14" t="str">
        <f t="shared" si="43"/>
        <v>0x000002D8</v>
      </c>
      <c r="B2179" s="15">
        <f>SUM_HEX(C2178:F2178,B2178,3)</f>
        <v>728</v>
      </c>
      <c r="C2179" s="16" t="s">
        <v>391</v>
      </c>
      <c r="D2179" s="16"/>
      <c r="E2179" s="16"/>
      <c r="F2179" s="16"/>
      <c r="G2179" s="18" t="s">
        <v>398</v>
      </c>
      <c r="H2179" s="18"/>
      <c r="I2179" s="24" t="s">
        <v>399</v>
      </c>
      <c r="J2179" s="18"/>
      <c r="K2179" s="18"/>
      <c r="L2179" s="25"/>
    </row>
    <row r="2180" customHeight="1" spans="1:12">
      <c r="A2180" s="14" t="str">
        <f t="shared" si="43"/>
        <v>0x000002DA</v>
      </c>
      <c r="B2180" s="15">
        <f>SUM_HEX(C2179:F2179,B2179,3)</f>
        <v>730</v>
      </c>
      <c r="C2180" s="16" t="s">
        <v>391</v>
      </c>
      <c r="D2180" s="16"/>
      <c r="E2180" s="16"/>
      <c r="F2180" s="16"/>
      <c r="G2180" s="18" t="s">
        <v>398</v>
      </c>
      <c r="H2180" s="18"/>
      <c r="I2180" s="24" t="s">
        <v>400</v>
      </c>
      <c r="J2180" s="18"/>
      <c r="K2180" s="18"/>
      <c r="L2180" s="25"/>
    </row>
    <row r="2181" customHeight="1" spans="1:12">
      <c r="A2181" s="14" t="str">
        <f t="shared" si="43"/>
        <v>0x000002DC</v>
      </c>
      <c r="B2181" s="15">
        <f>SUM_HEX(C2180:F2180,B2180,3)</f>
        <v>732</v>
      </c>
      <c r="C2181" s="16" t="s">
        <v>401</v>
      </c>
      <c r="D2181" s="16"/>
      <c r="E2181" s="16"/>
      <c r="F2181" s="16"/>
      <c r="G2181" s="17"/>
      <c r="H2181" s="17"/>
      <c r="I2181" s="22"/>
      <c r="J2181" s="17"/>
      <c r="K2181" s="17"/>
      <c r="L2181" s="23"/>
    </row>
    <row r="2182" customHeight="1" spans="1:12">
      <c r="A2182" s="14" t="str">
        <f t="shared" si="43"/>
        <v>0x000002E0</v>
      </c>
      <c r="B2182" s="15">
        <f>SUM_HEX(C2181:F2181,B2181,3)</f>
        <v>736</v>
      </c>
      <c r="C2182" s="16" t="s">
        <v>401</v>
      </c>
      <c r="D2182" s="16"/>
      <c r="E2182" s="16"/>
      <c r="F2182" s="16"/>
      <c r="G2182" s="17"/>
      <c r="H2182" s="17"/>
      <c r="I2182" s="22"/>
      <c r="J2182" s="17"/>
      <c r="K2182" s="17"/>
      <c r="L2182" s="23"/>
    </row>
    <row r="2183" customHeight="1" spans="1:12">
      <c r="A2183" s="14" t="str">
        <f t="shared" si="43"/>
        <v>0x000002E4</v>
      </c>
      <c r="B2183" s="15">
        <f>SUM_HEX(C2182:F2182,B2182,3)</f>
        <v>740</v>
      </c>
      <c r="C2183" s="16" t="s">
        <v>23</v>
      </c>
      <c r="D2183" s="16"/>
      <c r="E2183" s="16"/>
      <c r="F2183" s="16"/>
      <c r="G2183" s="18" t="s">
        <v>212</v>
      </c>
      <c r="H2183" s="18"/>
      <c r="I2183" s="24" t="s">
        <v>402</v>
      </c>
      <c r="J2183" s="18"/>
      <c r="K2183" s="18"/>
      <c r="L2183" s="25" t="s">
        <v>272</v>
      </c>
    </row>
    <row r="2184" customHeight="1" spans="1:12">
      <c r="A2184" s="14" t="str">
        <f t="shared" si="43"/>
        <v>0x000002E8</v>
      </c>
      <c r="B2184" s="15">
        <f>SUM_HEX(C2183:F2183,B2183,3)</f>
        <v>744</v>
      </c>
      <c r="C2184" s="16" t="s">
        <v>148</v>
      </c>
      <c r="D2184" s="16"/>
      <c r="E2184" s="16"/>
      <c r="F2184" s="16"/>
      <c r="G2184" s="18" t="s">
        <v>212</v>
      </c>
      <c r="H2184" s="18"/>
      <c r="I2184" s="24" t="s">
        <v>403</v>
      </c>
      <c r="J2184" s="18"/>
      <c r="K2184" s="18"/>
      <c r="L2184" s="25" t="s">
        <v>272</v>
      </c>
    </row>
    <row r="2185" customHeight="1" spans="1:12">
      <c r="A2185" s="14" t="str">
        <f t="shared" si="43"/>
        <v>0x000002EC</v>
      </c>
      <c r="B2185" s="15">
        <f>SUM_HEX(C2184:F2184,B2184,3)</f>
        <v>748</v>
      </c>
      <c r="C2185" s="16" t="s">
        <v>274</v>
      </c>
      <c r="D2185" s="16"/>
      <c r="E2185" s="16"/>
      <c r="F2185" s="16"/>
      <c r="G2185" s="18" t="s">
        <v>15</v>
      </c>
      <c r="H2185" s="18"/>
      <c r="I2185" s="24" t="s">
        <v>404</v>
      </c>
      <c r="J2185" s="18"/>
      <c r="K2185" s="18" t="s">
        <v>405</v>
      </c>
      <c r="L2185" s="25" t="s">
        <v>280</v>
      </c>
    </row>
    <row r="2186" customHeight="1" spans="1:12">
      <c r="A2186" s="14" t="str">
        <f t="shared" si="43"/>
        <v>0x000002F0</v>
      </c>
      <c r="B2186" s="15">
        <f>SUM_HEX(C2185:F2185,B2185,3)</f>
        <v>752</v>
      </c>
      <c r="C2186" s="16" t="s">
        <v>23</v>
      </c>
      <c r="D2186" s="16"/>
      <c r="E2186" s="16"/>
      <c r="F2186" s="16"/>
      <c r="G2186" s="18" t="s">
        <v>212</v>
      </c>
      <c r="H2186" s="18"/>
      <c r="I2186" s="24" t="s">
        <v>406</v>
      </c>
      <c r="J2186" s="18"/>
      <c r="K2186" s="18"/>
      <c r="L2186" s="25"/>
    </row>
    <row r="2187" customHeight="1" spans="1:12">
      <c r="A2187" s="14" t="str">
        <f t="shared" si="43"/>
        <v>0x000002F4</v>
      </c>
      <c r="B2187" s="15">
        <f>SUM_HEX(C2186:F2186,B2186,3)</f>
        <v>756</v>
      </c>
      <c r="C2187" s="16" t="s">
        <v>23</v>
      </c>
      <c r="D2187" s="16"/>
      <c r="E2187" s="16"/>
      <c r="F2187" s="16"/>
      <c r="G2187" s="18" t="s">
        <v>212</v>
      </c>
      <c r="H2187" s="18"/>
      <c r="I2187" s="24" t="s">
        <v>407</v>
      </c>
      <c r="J2187" s="18"/>
      <c r="K2187" s="18"/>
      <c r="L2187" s="25"/>
    </row>
    <row r="2188" customHeight="1" spans="1:12">
      <c r="A2188" s="14" t="str">
        <f t="shared" si="43"/>
        <v>0x000002F8</v>
      </c>
      <c r="B2188" s="15">
        <f>SUM_HEX(C2187:F2187,B2187,3)</f>
        <v>760</v>
      </c>
      <c r="C2188" s="16" t="s">
        <v>23</v>
      </c>
      <c r="D2188" s="16"/>
      <c r="E2188" s="16"/>
      <c r="F2188" s="16"/>
      <c r="G2188" s="18" t="s">
        <v>212</v>
      </c>
      <c r="H2188" s="18"/>
      <c r="I2188" s="24" t="s">
        <v>408</v>
      </c>
      <c r="J2188" s="18"/>
      <c r="K2188" s="18"/>
      <c r="L2188" s="25" t="s">
        <v>272</v>
      </c>
    </row>
    <row r="2189" customHeight="1" spans="1:12">
      <c r="A2189" s="14" t="str">
        <f t="shared" si="43"/>
        <v>0x000002FC</v>
      </c>
      <c r="B2189" s="15">
        <f>SUM_HEX(C2188:F2188,B2188,3)</f>
        <v>764</v>
      </c>
      <c r="C2189" s="16" t="s">
        <v>23</v>
      </c>
      <c r="D2189" s="16"/>
      <c r="E2189" s="16"/>
      <c r="F2189" s="16"/>
      <c r="G2189" s="18" t="s">
        <v>212</v>
      </c>
      <c r="H2189" s="18"/>
      <c r="I2189" s="24" t="s">
        <v>409</v>
      </c>
      <c r="J2189" s="18"/>
      <c r="K2189" s="18"/>
      <c r="L2189" s="25" t="s">
        <v>272</v>
      </c>
    </row>
    <row r="2190" customHeight="1" spans="1:12">
      <c r="A2190" s="14" t="str">
        <f t="shared" si="43"/>
        <v>0x00000300</v>
      </c>
      <c r="B2190" s="15">
        <f>SUM_HEX(C2189:F2189,B2189,3)</f>
        <v>768</v>
      </c>
      <c r="C2190" s="16" t="s">
        <v>23</v>
      </c>
      <c r="D2190" s="16"/>
      <c r="E2190" s="16"/>
      <c r="F2190" s="16"/>
      <c r="G2190" s="18" t="s">
        <v>212</v>
      </c>
      <c r="H2190" s="18"/>
      <c r="I2190" s="24" t="s">
        <v>410</v>
      </c>
      <c r="J2190" s="18"/>
      <c r="K2190" s="18"/>
      <c r="L2190" s="25"/>
    </row>
    <row r="2191" customHeight="1" spans="1:12">
      <c r="A2191" s="14" t="str">
        <f t="shared" si="43"/>
        <v>0x00000304</v>
      </c>
      <c r="B2191" s="15">
        <f>SUM_HEX(C2190:F2190,B2190,3)</f>
        <v>772</v>
      </c>
      <c r="C2191" s="16" t="s">
        <v>23</v>
      </c>
      <c r="D2191" s="16"/>
      <c r="E2191" s="16"/>
      <c r="F2191" s="16"/>
      <c r="G2191" s="18" t="s">
        <v>15</v>
      </c>
      <c r="H2191" s="18"/>
      <c r="I2191" s="24" t="s">
        <v>411</v>
      </c>
      <c r="J2191" s="18"/>
      <c r="K2191" s="18" t="s">
        <v>328</v>
      </c>
      <c r="L2191" s="25"/>
    </row>
    <row r="2192" customHeight="1" spans="1:12">
      <c r="A2192" s="14" t="str">
        <f t="shared" si="43"/>
        <v>0x00000308</v>
      </c>
      <c r="B2192" s="15">
        <f>SUM_HEX(C2191:F2191,B2191,3)</f>
        <v>776</v>
      </c>
      <c r="C2192" s="16" t="s">
        <v>148</v>
      </c>
      <c r="D2192" s="16"/>
      <c r="E2192" s="16"/>
      <c r="F2192" s="16"/>
      <c r="G2192" s="18" t="s">
        <v>212</v>
      </c>
      <c r="H2192" s="18"/>
      <c r="I2192" s="24" t="s">
        <v>412</v>
      </c>
      <c r="J2192" s="18"/>
      <c r="K2192" s="18"/>
      <c r="L2192" s="25"/>
    </row>
    <row r="2193" customHeight="1" spans="1:12">
      <c r="A2193" s="14" t="str">
        <f t="shared" si="43"/>
        <v>0x0000030C</v>
      </c>
      <c r="B2193" s="15">
        <f>SUM_HEX(C2192:F2192,B2192,3)</f>
        <v>780</v>
      </c>
      <c r="C2193" s="16" t="s">
        <v>23</v>
      </c>
      <c r="D2193" s="16" t="s">
        <v>23</v>
      </c>
      <c r="E2193" s="16" t="s">
        <v>148</v>
      </c>
      <c r="F2193" s="16"/>
      <c r="G2193" s="18" t="s">
        <v>326</v>
      </c>
      <c r="H2193" s="18"/>
      <c r="I2193" s="24" t="s">
        <v>413</v>
      </c>
      <c r="J2193" s="18"/>
      <c r="K2193" s="18"/>
      <c r="L2193" s="25"/>
    </row>
    <row r="2194" customHeight="1" spans="1:12">
      <c r="A2194" s="14" t="str">
        <f t="shared" si="43"/>
        <v>0x00000318</v>
      </c>
      <c r="B2194" s="15">
        <f>SUM_HEX(C2193:F2193,B2193,3)</f>
        <v>792</v>
      </c>
      <c r="C2194" s="16" t="s">
        <v>148</v>
      </c>
      <c r="D2194" s="16"/>
      <c r="E2194" s="16"/>
      <c r="F2194" s="16"/>
      <c r="G2194" s="18" t="s">
        <v>212</v>
      </c>
      <c r="H2194" s="18"/>
      <c r="I2194" s="24" t="s">
        <v>414</v>
      </c>
      <c r="J2194" s="18"/>
      <c r="K2194" s="18"/>
      <c r="L2194" s="25"/>
    </row>
    <row r="2195" customHeight="1" spans="1:12">
      <c r="A2195" s="14" t="str">
        <f t="shared" si="43"/>
        <v>0x0000031C</v>
      </c>
      <c r="B2195" s="15">
        <f>SUM_HEX(C2194:F2194,B2194,3)</f>
        <v>796</v>
      </c>
      <c r="C2195" s="16" t="s">
        <v>23</v>
      </c>
      <c r="D2195" s="16"/>
      <c r="E2195" s="16"/>
      <c r="F2195" s="16"/>
      <c r="G2195" s="18" t="s">
        <v>15</v>
      </c>
      <c r="H2195" s="18"/>
      <c r="I2195" s="24" t="s">
        <v>415</v>
      </c>
      <c r="J2195" s="18"/>
      <c r="K2195" s="18" t="s">
        <v>416</v>
      </c>
      <c r="L2195" s="25"/>
    </row>
    <row r="2196" customHeight="1" spans="1:12">
      <c r="A2196" s="14" t="str">
        <f t="shared" si="43"/>
        <v>0x00000320</v>
      </c>
      <c r="B2196" s="15">
        <f>SUM_HEX(C2195:F2195,B2195,3)</f>
        <v>800</v>
      </c>
      <c r="C2196" s="16" t="s">
        <v>23</v>
      </c>
      <c r="D2196" s="16"/>
      <c r="E2196" s="16"/>
      <c r="F2196" s="16"/>
      <c r="G2196" s="46" t="s">
        <v>157</v>
      </c>
      <c r="H2196" s="46" t="s">
        <v>212</v>
      </c>
      <c r="I2196" s="18" t="s">
        <v>417</v>
      </c>
      <c r="J2196" s="18"/>
      <c r="K2196" s="18"/>
      <c r="L2196" s="25"/>
    </row>
    <row r="2197" customHeight="1" spans="1:12">
      <c r="A2197" s="14" t="str">
        <f t="shared" si="43"/>
        <v>0x00000324</v>
      </c>
      <c r="B2197" s="15">
        <f>SUM_HEX(C2196:F2196,B2196,3)</f>
        <v>804</v>
      </c>
      <c r="C2197" s="16" t="s">
        <v>418</v>
      </c>
      <c r="D2197" s="16"/>
      <c r="E2197" s="16"/>
      <c r="F2197" s="16"/>
      <c r="G2197" s="47"/>
      <c r="H2197" s="47"/>
      <c r="I2197" s="18"/>
      <c r="J2197" s="18"/>
      <c r="K2197" s="18"/>
      <c r="L2197" s="25"/>
    </row>
    <row r="2198" customHeight="1" spans="1:12">
      <c r="A2198" s="14" t="str">
        <f t="shared" si="43"/>
        <v>0x00000328</v>
      </c>
      <c r="B2198" s="15">
        <f>SUM_HEX(C2197:F2197,B2197,3)</f>
        <v>808</v>
      </c>
      <c r="C2198" s="16" t="s">
        <v>23</v>
      </c>
      <c r="D2198" s="16" t="s">
        <v>23</v>
      </c>
      <c r="E2198" s="16"/>
      <c r="F2198" s="16"/>
      <c r="G2198" s="47"/>
      <c r="H2198" s="47"/>
      <c r="I2198" s="18"/>
      <c r="J2198" s="18"/>
      <c r="K2198" s="18"/>
      <c r="L2198" s="25"/>
    </row>
    <row r="2199" customHeight="1" spans="1:12">
      <c r="A2199" s="14" t="str">
        <f t="shared" si="43"/>
        <v>0x00000330</v>
      </c>
      <c r="B2199" s="15">
        <f>SUM_HEX(C2198:F2198,B2198,3)</f>
        <v>816</v>
      </c>
      <c r="C2199" s="16" t="s">
        <v>274</v>
      </c>
      <c r="D2199" s="16"/>
      <c r="E2199" s="16"/>
      <c r="F2199" s="16"/>
      <c r="G2199" s="48"/>
      <c r="H2199" s="48"/>
      <c r="I2199" s="18"/>
      <c r="J2199" s="18"/>
      <c r="K2199" s="18"/>
      <c r="L2199" s="25"/>
    </row>
    <row r="2200" customHeight="1" spans="1:12">
      <c r="A2200" s="14" t="str">
        <f t="shared" si="43"/>
        <v>0x00000334</v>
      </c>
      <c r="B2200" s="15">
        <f>SUM_HEX(C2199:F2199,B2199,3)</f>
        <v>820</v>
      </c>
      <c r="C2200" s="16" t="s">
        <v>23</v>
      </c>
      <c r="D2200" s="16"/>
      <c r="E2200" s="16"/>
      <c r="F2200" s="16"/>
      <c r="G2200" s="46" t="s">
        <v>157</v>
      </c>
      <c r="H2200" s="46" t="s">
        <v>212</v>
      </c>
      <c r="I2200" s="18" t="s">
        <v>419</v>
      </c>
      <c r="J2200" s="18"/>
      <c r="K2200" s="18"/>
      <c r="L2200" s="25"/>
    </row>
    <row r="2201" customHeight="1" spans="1:12">
      <c r="A2201" s="14" t="str">
        <f t="shared" si="43"/>
        <v>0x00000338</v>
      </c>
      <c r="B2201" s="15">
        <f>SUM_HEX(C2200:F2200,B2200,3)</f>
        <v>824</v>
      </c>
      <c r="C2201" s="16" t="s">
        <v>420</v>
      </c>
      <c r="D2201" s="16"/>
      <c r="E2201" s="16"/>
      <c r="F2201" s="16"/>
      <c r="G2201" s="47"/>
      <c r="H2201" s="47"/>
      <c r="I2201" s="18"/>
      <c r="J2201" s="18"/>
      <c r="K2201" s="18"/>
      <c r="L2201" s="25"/>
    </row>
    <row r="2202" customHeight="1" spans="1:12">
      <c r="A2202" s="14" t="str">
        <f t="shared" si="43"/>
        <v>0x0000033C</v>
      </c>
      <c r="B2202" s="15">
        <f>SUM_HEX(C2201:F2201,B2201,3)</f>
        <v>828</v>
      </c>
      <c r="C2202" s="16" t="s">
        <v>23</v>
      </c>
      <c r="D2202" s="16" t="s">
        <v>23</v>
      </c>
      <c r="E2202" s="16"/>
      <c r="F2202" s="16"/>
      <c r="G2202" s="47"/>
      <c r="H2202" s="47"/>
      <c r="I2202" s="18"/>
      <c r="J2202" s="18"/>
      <c r="K2202" s="18"/>
      <c r="L2202" s="25"/>
    </row>
    <row r="2203" customHeight="1" spans="1:12">
      <c r="A2203" s="14" t="str">
        <f t="shared" si="43"/>
        <v>0x00000344</v>
      </c>
      <c r="B2203" s="15">
        <f>SUM_HEX(C2202:F2202,B2202,3)</f>
        <v>836</v>
      </c>
      <c r="C2203" s="16" t="s">
        <v>274</v>
      </c>
      <c r="D2203" s="16"/>
      <c r="E2203" s="16"/>
      <c r="F2203" s="16"/>
      <c r="G2203" s="48"/>
      <c r="H2203" s="48"/>
      <c r="I2203" s="18"/>
      <c r="J2203" s="18"/>
      <c r="K2203" s="18"/>
      <c r="L2203" s="25"/>
    </row>
    <row r="2204" customHeight="1" spans="1:12">
      <c r="A2204" s="14" t="str">
        <f t="shared" si="43"/>
        <v>0x00000348</v>
      </c>
      <c r="B2204" s="15">
        <f>SUM_HEX(C2203:F2203,B2203,3)</f>
        <v>840</v>
      </c>
      <c r="C2204" s="16" t="s">
        <v>23</v>
      </c>
      <c r="D2204" s="16"/>
      <c r="E2204" s="16"/>
      <c r="F2204" s="16"/>
      <c r="G2204" s="18" t="s">
        <v>15</v>
      </c>
      <c r="H2204" s="18"/>
      <c r="I2204" s="24" t="s">
        <v>421</v>
      </c>
      <c r="J2204" s="18"/>
      <c r="K2204" s="18" t="s">
        <v>416</v>
      </c>
      <c r="L2204" s="25"/>
    </row>
    <row r="2205" customHeight="1" spans="1:12">
      <c r="A2205" s="14" t="str">
        <f t="shared" si="43"/>
        <v>0x0000034C</v>
      </c>
      <c r="B2205" s="15">
        <f>SUM_HEX(C2204:F2204,B2204,3)</f>
        <v>844</v>
      </c>
      <c r="C2205" s="16" t="s">
        <v>23</v>
      </c>
      <c r="D2205" s="16"/>
      <c r="E2205" s="16"/>
      <c r="F2205" s="16"/>
      <c r="G2205" s="46" t="s">
        <v>157</v>
      </c>
      <c r="H2205" s="46" t="s">
        <v>212</v>
      </c>
      <c r="I2205" s="18" t="s">
        <v>422</v>
      </c>
      <c r="J2205" s="18"/>
      <c r="K2205" s="18"/>
      <c r="L2205" s="25"/>
    </row>
    <row r="2206" customHeight="1" spans="1:12">
      <c r="A2206" s="14" t="str">
        <f t="shared" si="43"/>
        <v>0x00000350</v>
      </c>
      <c r="B2206" s="15">
        <f>SUM_HEX(C2205:F2205,B2205,3)</f>
        <v>848</v>
      </c>
      <c r="C2206" s="16" t="s">
        <v>423</v>
      </c>
      <c r="D2206" s="16"/>
      <c r="E2206" s="16"/>
      <c r="F2206" s="16"/>
      <c r="G2206" s="47"/>
      <c r="H2206" s="47"/>
      <c r="I2206" s="18"/>
      <c r="J2206" s="18"/>
      <c r="K2206" s="18"/>
      <c r="L2206" s="25"/>
    </row>
    <row r="2207" customHeight="1" spans="1:12">
      <c r="A2207" s="14" t="str">
        <f t="shared" si="43"/>
        <v>0x00000354</v>
      </c>
      <c r="B2207" s="15">
        <f>SUM_HEX(C2206:F2206,B2206,3)</f>
        <v>852</v>
      </c>
      <c r="C2207" s="16" t="s">
        <v>23</v>
      </c>
      <c r="D2207" s="16" t="s">
        <v>23</v>
      </c>
      <c r="E2207" s="16"/>
      <c r="F2207" s="16"/>
      <c r="G2207" s="47"/>
      <c r="H2207" s="47"/>
      <c r="I2207" s="18"/>
      <c r="J2207" s="18"/>
      <c r="K2207" s="18"/>
      <c r="L2207" s="25"/>
    </row>
    <row r="2208" customHeight="1" spans="1:12">
      <c r="A2208" s="14" t="str">
        <f t="shared" si="43"/>
        <v>0x0000035C</v>
      </c>
      <c r="B2208" s="15">
        <f>SUM_HEX(C2207:F2207,B2207,3)</f>
        <v>860</v>
      </c>
      <c r="C2208" s="16" t="s">
        <v>274</v>
      </c>
      <c r="D2208" s="16"/>
      <c r="E2208" s="16"/>
      <c r="F2208" s="16"/>
      <c r="G2208" s="48"/>
      <c r="H2208" s="48"/>
      <c r="I2208" s="18"/>
      <c r="J2208" s="18"/>
      <c r="K2208" s="18"/>
      <c r="L2208" s="25"/>
    </row>
    <row r="2209" customHeight="1" spans="1:12">
      <c r="A2209" s="14" t="str">
        <f t="shared" si="43"/>
        <v>0x00000360</v>
      </c>
      <c r="B2209" s="15">
        <f>SUM_HEX(C2208:F2208,B2208,3)</f>
        <v>864</v>
      </c>
      <c r="C2209" s="16" t="s">
        <v>23</v>
      </c>
      <c r="D2209" s="16"/>
      <c r="E2209" s="16"/>
      <c r="F2209" s="16"/>
      <c r="G2209" s="46" t="s">
        <v>157</v>
      </c>
      <c r="H2209" s="46" t="s">
        <v>212</v>
      </c>
      <c r="I2209" s="18" t="s">
        <v>424</v>
      </c>
      <c r="J2209" s="18"/>
      <c r="K2209" s="18"/>
      <c r="L2209" s="25"/>
    </row>
    <row r="2210" customHeight="1" spans="1:12">
      <c r="A2210" s="14" t="str">
        <f t="shared" si="43"/>
        <v>0x00000364</v>
      </c>
      <c r="B2210" s="15">
        <f>SUM_HEX(C2209:F2209,B2209,3)</f>
        <v>868</v>
      </c>
      <c r="C2210" s="16" t="s">
        <v>425</v>
      </c>
      <c r="D2210" s="16"/>
      <c r="E2210" s="16"/>
      <c r="F2210" s="16"/>
      <c r="G2210" s="47"/>
      <c r="H2210" s="47"/>
      <c r="I2210" s="18"/>
      <c r="J2210" s="18"/>
      <c r="K2210" s="18"/>
      <c r="L2210" s="25"/>
    </row>
    <row r="2211" customHeight="1" spans="1:12">
      <c r="A2211" s="14" t="str">
        <f t="shared" si="43"/>
        <v>0x00000368</v>
      </c>
      <c r="B2211" s="15">
        <f>SUM_HEX(C2210:F2210,B2210,3)</f>
        <v>872</v>
      </c>
      <c r="C2211" s="16" t="s">
        <v>23</v>
      </c>
      <c r="D2211" s="16" t="s">
        <v>23</v>
      </c>
      <c r="E2211" s="16"/>
      <c r="F2211" s="16"/>
      <c r="G2211" s="47"/>
      <c r="H2211" s="47"/>
      <c r="I2211" s="18"/>
      <c r="J2211" s="18"/>
      <c r="K2211" s="18"/>
      <c r="L2211" s="25"/>
    </row>
    <row r="2212" customHeight="1" spans="1:12">
      <c r="A2212" s="14" t="str">
        <f t="shared" si="43"/>
        <v>0x00000370</v>
      </c>
      <c r="B2212" s="15">
        <f>SUM_HEX(C2211:F2211,B2211,3)</f>
        <v>880</v>
      </c>
      <c r="C2212" s="16" t="s">
        <v>274</v>
      </c>
      <c r="D2212" s="16"/>
      <c r="E2212" s="16"/>
      <c r="F2212" s="16"/>
      <c r="G2212" s="48"/>
      <c r="H2212" s="48"/>
      <c r="I2212" s="18"/>
      <c r="J2212" s="18"/>
      <c r="K2212" s="18"/>
      <c r="L2212" s="25"/>
    </row>
    <row r="2213" customHeight="1" spans="1:12">
      <c r="A2213" s="14" t="str">
        <f t="shared" si="43"/>
        <v>0x00000374</v>
      </c>
      <c r="B2213" s="15">
        <f>SUM_HEX(C2212:F2212,B2212,3)</f>
        <v>884</v>
      </c>
      <c r="C2213" s="16" t="s">
        <v>23</v>
      </c>
      <c r="D2213" s="16"/>
      <c r="E2213" s="16"/>
      <c r="F2213" s="16"/>
      <c r="G2213" s="18" t="s">
        <v>15</v>
      </c>
      <c r="H2213" s="18"/>
      <c r="I2213" s="24" t="s">
        <v>426</v>
      </c>
      <c r="J2213" s="18"/>
      <c r="K2213" s="18" t="s">
        <v>416</v>
      </c>
      <c r="L2213" s="25"/>
    </row>
    <row r="2214" customHeight="1" spans="1:12">
      <c r="A2214" s="14" t="str">
        <f t="shared" si="43"/>
        <v>0x00000378</v>
      </c>
      <c r="B2214" s="15">
        <f>SUM_HEX(C2213:F2213,B2213,3)</f>
        <v>888</v>
      </c>
      <c r="C2214" s="16" t="s">
        <v>23</v>
      </c>
      <c r="D2214" s="16"/>
      <c r="E2214" s="16"/>
      <c r="F2214" s="16"/>
      <c r="G2214" s="46" t="s">
        <v>157</v>
      </c>
      <c r="H2214" s="46" t="s">
        <v>212</v>
      </c>
      <c r="I2214" s="18" t="s">
        <v>427</v>
      </c>
      <c r="J2214" s="18"/>
      <c r="K2214" s="18"/>
      <c r="L2214" s="25"/>
    </row>
    <row r="2215" customHeight="1" spans="1:12">
      <c r="A2215" s="14" t="str">
        <f t="shared" si="43"/>
        <v>0x0000037C</v>
      </c>
      <c r="B2215" s="15">
        <f>SUM_HEX(C2214:F2214,B2214,3)</f>
        <v>892</v>
      </c>
      <c r="C2215" s="16" t="s">
        <v>428</v>
      </c>
      <c r="D2215" s="16"/>
      <c r="E2215" s="16"/>
      <c r="F2215" s="16"/>
      <c r="G2215" s="47"/>
      <c r="H2215" s="47"/>
      <c r="I2215" s="18"/>
      <c r="J2215" s="18"/>
      <c r="K2215" s="18"/>
      <c r="L2215" s="25"/>
    </row>
    <row r="2216" customHeight="1" spans="1:12">
      <c r="A2216" s="14" t="str">
        <f t="shared" si="43"/>
        <v>0x00000380</v>
      </c>
      <c r="B2216" s="15">
        <f>SUM_HEX(C2215:F2215,B2215,3)</f>
        <v>896</v>
      </c>
      <c r="C2216" s="16" t="s">
        <v>23</v>
      </c>
      <c r="D2216" s="16" t="s">
        <v>23</v>
      </c>
      <c r="E2216" s="16"/>
      <c r="F2216" s="16"/>
      <c r="G2216" s="47"/>
      <c r="H2216" s="47"/>
      <c r="I2216" s="18"/>
      <c r="J2216" s="18"/>
      <c r="K2216" s="18"/>
      <c r="L2216" s="25"/>
    </row>
    <row r="2217" customHeight="1" spans="1:12">
      <c r="A2217" s="14" t="str">
        <f t="shared" si="43"/>
        <v>0x00000388</v>
      </c>
      <c r="B2217" s="15">
        <f>SUM_HEX(C2216:F2216,B2216,3)</f>
        <v>904</v>
      </c>
      <c r="C2217" s="16" t="s">
        <v>274</v>
      </c>
      <c r="D2217" s="16"/>
      <c r="E2217" s="16"/>
      <c r="F2217" s="16"/>
      <c r="G2217" s="48"/>
      <c r="H2217" s="48"/>
      <c r="I2217" s="18"/>
      <c r="J2217" s="18"/>
      <c r="K2217" s="18"/>
      <c r="L2217" s="25"/>
    </row>
    <row r="2218" customHeight="1" spans="1:12">
      <c r="A2218" s="14" t="str">
        <f t="shared" si="43"/>
        <v>0x0000038C</v>
      </c>
      <c r="B2218" s="15">
        <f>SUM_HEX(C2217:F2217,B2217,3)</f>
        <v>908</v>
      </c>
      <c r="C2218" s="16" t="s">
        <v>23</v>
      </c>
      <c r="D2218" s="16"/>
      <c r="E2218" s="16"/>
      <c r="F2218" s="16"/>
      <c r="G2218" s="46" t="s">
        <v>157</v>
      </c>
      <c r="H2218" s="46" t="s">
        <v>212</v>
      </c>
      <c r="I2218" s="18" t="s">
        <v>429</v>
      </c>
      <c r="J2218" s="18"/>
      <c r="K2218" s="18"/>
      <c r="L2218" s="25"/>
    </row>
    <row r="2219" customHeight="1" spans="1:12">
      <c r="A2219" s="14" t="str">
        <f t="shared" si="43"/>
        <v>0x00000390</v>
      </c>
      <c r="B2219" s="15">
        <f>SUM_HEX(C2218:F2218,B2218,3)</f>
        <v>912</v>
      </c>
      <c r="C2219" s="16" t="s">
        <v>430</v>
      </c>
      <c r="D2219" s="16"/>
      <c r="E2219" s="16"/>
      <c r="F2219" s="16"/>
      <c r="G2219" s="47"/>
      <c r="H2219" s="47"/>
      <c r="I2219" s="18"/>
      <c r="J2219" s="18"/>
      <c r="K2219" s="18"/>
      <c r="L2219" s="25"/>
    </row>
    <row r="2220" customHeight="1" spans="1:12">
      <c r="A2220" s="14" t="str">
        <f t="shared" si="43"/>
        <v>0x00000394</v>
      </c>
      <c r="B2220" s="15">
        <f>SUM_HEX(C2219:F2219,B2219,3)</f>
        <v>916</v>
      </c>
      <c r="C2220" s="16" t="s">
        <v>23</v>
      </c>
      <c r="D2220" s="16" t="s">
        <v>23</v>
      </c>
      <c r="E2220" s="16"/>
      <c r="F2220" s="16"/>
      <c r="G2220" s="47"/>
      <c r="H2220" s="47"/>
      <c r="I2220" s="18"/>
      <c r="J2220" s="18"/>
      <c r="K2220" s="18"/>
      <c r="L2220" s="25"/>
    </row>
    <row r="2221" customHeight="1" spans="1:12">
      <c r="A2221" s="14" t="str">
        <f t="shared" si="43"/>
        <v>0x0000039C</v>
      </c>
      <c r="B2221" s="15">
        <f>SUM_HEX(C2220:F2220,B2220,3)</f>
        <v>924</v>
      </c>
      <c r="C2221" s="16" t="s">
        <v>274</v>
      </c>
      <c r="D2221" s="16"/>
      <c r="E2221" s="16"/>
      <c r="F2221" s="16"/>
      <c r="G2221" s="48"/>
      <c r="H2221" s="48"/>
      <c r="I2221" s="18"/>
      <c r="J2221" s="18"/>
      <c r="K2221" s="18"/>
      <c r="L2221" s="25"/>
    </row>
    <row r="2222" customHeight="1" spans="1:12">
      <c r="A2222" s="14" t="str">
        <f t="shared" si="43"/>
        <v>0x000003A0</v>
      </c>
      <c r="B2222" s="15">
        <f>SUM_HEX(C2221:F2221,B2221,3)</f>
        <v>928</v>
      </c>
      <c r="C2222" s="16" t="s">
        <v>23</v>
      </c>
      <c r="D2222" s="16"/>
      <c r="E2222" s="16"/>
      <c r="F2222" s="16"/>
      <c r="G2222" s="18" t="s">
        <v>15</v>
      </c>
      <c r="H2222" s="18"/>
      <c r="I2222" s="24" t="s">
        <v>431</v>
      </c>
      <c r="J2222" s="18"/>
      <c r="K2222" s="18" t="s">
        <v>416</v>
      </c>
      <c r="L2222" s="25"/>
    </row>
    <row r="2223" customHeight="1" spans="1:12">
      <c r="A2223" s="14" t="str">
        <f t="shared" si="43"/>
        <v>0x000003A4</v>
      </c>
      <c r="B2223" s="15">
        <f>SUM_HEX(C2222:F2222,B2222,3)</f>
        <v>932</v>
      </c>
      <c r="C2223" s="16" t="s">
        <v>23</v>
      </c>
      <c r="D2223" s="16"/>
      <c r="E2223" s="16"/>
      <c r="F2223" s="16"/>
      <c r="G2223" s="46" t="s">
        <v>157</v>
      </c>
      <c r="H2223" s="46" t="s">
        <v>212</v>
      </c>
      <c r="I2223" s="18" t="s">
        <v>432</v>
      </c>
      <c r="J2223" s="18"/>
      <c r="K2223" s="18"/>
      <c r="L2223" s="25"/>
    </row>
    <row r="2224" customHeight="1" spans="1:12">
      <c r="A2224" s="14" t="str">
        <f t="shared" si="43"/>
        <v>0x000003A8</v>
      </c>
      <c r="B2224" s="15">
        <f>SUM_HEX(C2223:F2223,B2223,3)</f>
        <v>936</v>
      </c>
      <c r="C2224" s="16" t="s">
        <v>433</v>
      </c>
      <c r="D2224" s="16"/>
      <c r="E2224" s="16"/>
      <c r="F2224" s="16"/>
      <c r="G2224" s="47"/>
      <c r="H2224" s="47"/>
      <c r="I2224" s="18"/>
      <c r="J2224" s="18"/>
      <c r="K2224" s="18"/>
      <c r="L2224" s="25"/>
    </row>
    <row r="2225" customHeight="1" spans="1:12">
      <c r="A2225" s="14" t="str">
        <f t="shared" si="43"/>
        <v>0x000003AC</v>
      </c>
      <c r="B2225" s="15">
        <f>SUM_HEX(C2224:F2224,B2224,3)</f>
        <v>940</v>
      </c>
      <c r="C2225" s="16" t="s">
        <v>23</v>
      </c>
      <c r="D2225" s="16" t="s">
        <v>23</v>
      </c>
      <c r="E2225" s="16"/>
      <c r="F2225" s="16"/>
      <c r="G2225" s="47"/>
      <c r="H2225" s="47"/>
      <c r="I2225" s="18"/>
      <c r="J2225" s="18"/>
      <c r="K2225" s="18"/>
      <c r="L2225" s="25"/>
    </row>
    <row r="2226" customHeight="1" spans="1:12">
      <c r="A2226" s="14" t="str">
        <f t="shared" si="43"/>
        <v>0x000003B4</v>
      </c>
      <c r="B2226" s="15">
        <f>SUM_HEX(C2225:F2225,B2225,3)</f>
        <v>948</v>
      </c>
      <c r="C2226" s="16" t="s">
        <v>274</v>
      </c>
      <c r="D2226" s="16"/>
      <c r="E2226" s="16"/>
      <c r="F2226" s="16"/>
      <c r="G2226" s="48"/>
      <c r="H2226" s="48"/>
      <c r="I2226" s="18"/>
      <c r="J2226" s="18"/>
      <c r="K2226" s="18"/>
      <c r="L2226" s="25"/>
    </row>
    <row r="2227" customHeight="1" spans="1:12">
      <c r="A2227" s="14" t="str">
        <f t="shared" si="43"/>
        <v>0x000003B8</v>
      </c>
      <c r="B2227" s="15">
        <f>SUM_HEX(C2226:F2226,B2226,3)</f>
        <v>952</v>
      </c>
      <c r="C2227" s="16" t="s">
        <v>23</v>
      </c>
      <c r="D2227" s="16"/>
      <c r="E2227" s="16"/>
      <c r="F2227" s="16"/>
      <c r="G2227" s="46" t="s">
        <v>157</v>
      </c>
      <c r="H2227" s="46" t="s">
        <v>212</v>
      </c>
      <c r="I2227" s="18" t="s">
        <v>434</v>
      </c>
      <c r="J2227" s="18"/>
      <c r="K2227" s="18"/>
      <c r="L2227" s="25"/>
    </row>
    <row r="2228" customHeight="1" spans="1:12">
      <c r="A2228" s="14" t="str">
        <f t="shared" si="43"/>
        <v>0x000003BC</v>
      </c>
      <c r="B2228" s="15">
        <f>SUM_HEX(C2227:F2227,B2227,3)</f>
        <v>956</v>
      </c>
      <c r="C2228" s="16" t="s">
        <v>435</v>
      </c>
      <c r="D2228" s="16"/>
      <c r="E2228" s="16"/>
      <c r="F2228" s="16"/>
      <c r="G2228" s="47"/>
      <c r="H2228" s="47"/>
      <c r="I2228" s="18"/>
      <c r="J2228" s="18"/>
      <c r="K2228" s="18"/>
      <c r="L2228" s="25"/>
    </row>
    <row r="2229" customHeight="1" spans="1:12">
      <c r="A2229" s="14" t="str">
        <f t="shared" si="43"/>
        <v>0x000003C0</v>
      </c>
      <c r="B2229" s="15">
        <f>SUM_HEX(C2228:F2228,B2228,3)</f>
        <v>960</v>
      </c>
      <c r="C2229" s="16" t="s">
        <v>23</v>
      </c>
      <c r="D2229" s="16" t="s">
        <v>23</v>
      </c>
      <c r="E2229" s="16"/>
      <c r="F2229" s="16"/>
      <c r="G2229" s="47"/>
      <c r="H2229" s="47"/>
      <c r="I2229" s="18"/>
      <c r="J2229" s="18"/>
      <c r="K2229" s="18"/>
      <c r="L2229" s="25"/>
    </row>
    <row r="2230" customHeight="1" spans="1:12">
      <c r="A2230" s="14" t="str">
        <f t="shared" si="43"/>
        <v>0x000003C8</v>
      </c>
      <c r="B2230" s="15">
        <f>SUM_HEX(C2229:F2229,B2229,3)</f>
        <v>968</v>
      </c>
      <c r="C2230" s="16" t="s">
        <v>274</v>
      </c>
      <c r="D2230" s="16"/>
      <c r="E2230" s="16"/>
      <c r="F2230" s="16"/>
      <c r="G2230" s="48"/>
      <c r="H2230" s="48"/>
      <c r="I2230" s="18"/>
      <c r="J2230" s="18"/>
      <c r="K2230" s="18"/>
      <c r="L2230" s="25"/>
    </row>
    <row r="2231" customHeight="1" spans="1:12">
      <c r="A2231" s="14" t="str">
        <f t="shared" si="43"/>
        <v>0x000003CC</v>
      </c>
      <c r="B2231" s="15">
        <f>SUM_HEX(C2230:F2230,B2230,3)</f>
        <v>972</v>
      </c>
      <c r="C2231" s="16" t="s">
        <v>23</v>
      </c>
      <c r="D2231" s="16"/>
      <c r="E2231" s="16"/>
      <c r="F2231" s="16"/>
      <c r="G2231" s="18" t="s">
        <v>15</v>
      </c>
      <c r="H2231" s="18"/>
      <c r="I2231" s="24" t="s">
        <v>436</v>
      </c>
      <c r="J2231" s="18"/>
      <c r="K2231" s="18" t="s">
        <v>416</v>
      </c>
      <c r="L2231" s="25"/>
    </row>
    <row r="2232" customHeight="1" spans="1:12">
      <c r="A2232" s="14" t="str">
        <f t="shared" si="43"/>
        <v>0x000003D0</v>
      </c>
      <c r="B2232" s="15">
        <f>SUM_HEX(C2231:F2231,B2231,3)</f>
        <v>976</v>
      </c>
      <c r="C2232" s="16" t="s">
        <v>23</v>
      </c>
      <c r="D2232" s="16"/>
      <c r="E2232" s="16"/>
      <c r="F2232" s="16"/>
      <c r="G2232" s="46" t="s">
        <v>157</v>
      </c>
      <c r="H2232" s="46" t="s">
        <v>212</v>
      </c>
      <c r="I2232" s="18" t="s">
        <v>437</v>
      </c>
      <c r="J2232" s="18"/>
      <c r="K2232" s="18"/>
      <c r="L2232" s="25"/>
    </row>
    <row r="2233" customHeight="1" spans="1:12">
      <c r="A2233" s="14" t="str">
        <f t="shared" si="43"/>
        <v>0x000003D4</v>
      </c>
      <c r="B2233" s="15">
        <f>SUM_HEX(C2232:F2232,B2232,3)</f>
        <v>980</v>
      </c>
      <c r="C2233" s="16" t="s">
        <v>438</v>
      </c>
      <c r="D2233" s="16"/>
      <c r="E2233" s="16"/>
      <c r="F2233" s="16"/>
      <c r="G2233" s="47"/>
      <c r="H2233" s="47"/>
      <c r="I2233" s="18"/>
      <c r="J2233" s="18"/>
      <c r="K2233" s="18"/>
      <c r="L2233" s="25"/>
    </row>
    <row r="2234" customHeight="1" spans="1:12">
      <c r="A2234" s="14" t="str">
        <f t="shared" ref="A2234:A2284" si="44">"0x"&amp;DEC2HEX(B2234,8)</f>
        <v>0x000003D8</v>
      </c>
      <c r="B2234" s="15">
        <f>SUM_HEX(C2233:F2233,B2233,3)</f>
        <v>984</v>
      </c>
      <c r="C2234" s="16" t="s">
        <v>23</v>
      </c>
      <c r="D2234" s="16" t="s">
        <v>23</v>
      </c>
      <c r="E2234" s="16"/>
      <c r="F2234" s="16"/>
      <c r="G2234" s="47"/>
      <c r="H2234" s="47"/>
      <c r="I2234" s="18"/>
      <c r="J2234" s="18"/>
      <c r="K2234" s="18"/>
      <c r="L2234" s="25"/>
    </row>
    <row r="2235" customHeight="1" spans="1:12">
      <c r="A2235" s="14" t="str">
        <f t="shared" si="44"/>
        <v>0x000003E0</v>
      </c>
      <c r="B2235" s="15">
        <f>SUM_HEX(C2234:F2234,B2234,3)</f>
        <v>992</v>
      </c>
      <c r="C2235" s="16" t="s">
        <v>274</v>
      </c>
      <c r="D2235" s="16"/>
      <c r="E2235" s="16"/>
      <c r="F2235" s="16"/>
      <c r="G2235" s="48"/>
      <c r="H2235" s="48"/>
      <c r="I2235" s="18"/>
      <c r="J2235" s="18"/>
      <c r="K2235" s="18"/>
      <c r="L2235" s="25"/>
    </row>
    <row r="2236" customHeight="1" spans="1:12">
      <c r="A2236" s="14" t="str">
        <f t="shared" si="44"/>
        <v>0x000003E4</v>
      </c>
      <c r="B2236" s="15">
        <f>SUM_HEX(C2235:F2235,B2235,3)</f>
        <v>996</v>
      </c>
      <c r="C2236" s="16" t="s">
        <v>23</v>
      </c>
      <c r="D2236" s="16"/>
      <c r="E2236" s="16"/>
      <c r="F2236" s="16"/>
      <c r="G2236" s="46" t="s">
        <v>157</v>
      </c>
      <c r="H2236" s="46" t="s">
        <v>212</v>
      </c>
      <c r="I2236" s="18" t="s">
        <v>439</v>
      </c>
      <c r="J2236" s="18"/>
      <c r="K2236" s="18"/>
      <c r="L2236" s="25"/>
    </row>
    <row r="2237" customHeight="1" spans="1:12">
      <c r="A2237" s="14" t="str">
        <f t="shared" si="44"/>
        <v>0x000003E8</v>
      </c>
      <c r="B2237" s="15">
        <f>SUM_HEX(C2236:F2236,B2236,3)</f>
        <v>1000</v>
      </c>
      <c r="C2237" s="16" t="s">
        <v>440</v>
      </c>
      <c r="D2237" s="16"/>
      <c r="E2237" s="16"/>
      <c r="F2237" s="16"/>
      <c r="G2237" s="47"/>
      <c r="H2237" s="47"/>
      <c r="I2237" s="18"/>
      <c r="J2237" s="18"/>
      <c r="K2237" s="18"/>
      <c r="L2237" s="25"/>
    </row>
    <row r="2238" customHeight="1" spans="1:12">
      <c r="A2238" s="14" t="str">
        <f t="shared" si="44"/>
        <v>0x000003EC</v>
      </c>
      <c r="B2238" s="15">
        <f>SUM_HEX(C2237:F2237,B2237,3)</f>
        <v>1004</v>
      </c>
      <c r="C2238" s="16" t="s">
        <v>23</v>
      </c>
      <c r="D2238" s="16" t="s">
        <v>23</v>
      </c>
      <c r="E2238" s="16"/>
      <c r="F2238" s="16"/>
      <c r="G2238" s="47"/>
      <c r="H2238" s="47"/>
      <c r="I2238" s="18"/>
      <c r="J2238" s="18"/>
      <c r="K2238" s="18"/>
      <c r="L2238" s="25"/>
    </row>
    <row r="2239" customHeight="1" spans="1:12">
      <c r="A2239" s="14" t="str">
        <f t="shared" si="44"/>
        <v>0x000003F4</v>
      </c>
      <c r="B2239" s="15">
        <f>SUM_HEX(C2238:F2238,B2238,3)</f>
        <v>1012</v>
      </c>
      <c r="C2239" s="16" t="s">
        <v>274</v>
      </c>
      <c r="D2239" s="16"/>
      <c r="E2239" s="16"/>
      <c r="F2239" s="16"/>
      <c r="G2239" s="48"/>
      <c r="H2239" s="48"/>
      <c r="I2239" s="18"/>
      <c r="J2239" s="18"/>
      <c r="K2239" s="18"/>
      <c r="L2239" s="25"/>
    </row>
    <row r="2240" customHeight="1" spans="1:12">
      <c r="A2240" s="14" t="str">
        <f t="shared" si="44"/>
        <v>0x000003F8</v>
      </c>
      <c r="B2240" s="15">
        <f>SUM_HEX(C2239:F2239,B2239,3)</f>
        <v>1016</v>
      </c>
      <c r="C2240" s="16" t="s">
        <v>23</v>
      </c>
      <c r="D2240" s="16"/>
      <c r="E2240" s="16"/>
      <c r="F2240" s="16"/>
      <c r="G2240" s="18" t="s">
        <v>15</v>
      </c>
      <c r="H2240" s="18"/>
      <c r="I2240" s="24"/>
      <c r="J2240" s="18"/>
      <c r="K2240" s="18"/>
      <c r="L2240" s="25"/>
    </row>
    <row r="2241" customHeight="1" spans="1:12">
      <c r="A2241" s="14" t="str">
        <f t="shared" si="44"/>
        <v>0x000003FC</v>
      </c>
      <c r="B2241" s="15">
        <f>SUM_HEX(C2240:F2240,B2240,3)</f>
        <v>1020</v>
      </c>
      <c r="C2241" s="16" t="s">
        <v>23</v>
      </c>
      <c r="D2241" s="16"/>
      <c r="E2241" s="16"/>
      <c r="F2241" s="16"/>
      <c r="G2241" s="46" t="s">
        <v>157</v>
      </c>
      <c r="H2241" s="46"/>
      <c r="I2241" s="18"/>
      <c r="J2241" s="18"/>
      <c r="K2241" s="18"/>
      <c r="L2241" s="25"/>
    </row>
    <row r="2242" customHeight="1" spans="1:12">
      <c r="A2242" s="14" t="str">
        <f t="shared" si="44"/>
        <v>0x00000400</v>
      </c>
      <c r="B2242" s="15">
        <f>SUM_HEX(C2241:F2241,B2241,3)</f>
        <v>1024</v>
      </c>
      <c r="C2242" s="16" t="s">
        <v>441</v>
      </c>
      <c r="D2242" s="16"/>
      <c r="E2242" s="16"/>
      <c r="F2242" s="16"/>
      <c r="G2242" s="47"/>
      <c r="H2242" s="47"/>
      <c r="I2242" s="18"/>
      <c r="J2242" s="18"/>
      <c r="K2242" s="18"/>
      <c r="L2242" s="25"/>
    </row>
    <row r="2243" customHeight="1" spans="1:12">
      <c r="A2243" s="14" t="str">
        <f t="shared" si="44"/>
        <v>0x00000404</v>
      </c>
      <c r="B2243" s="15">
        <f>SUM_HEX(C2242:F2242,B2242,3)</f>
        <v>1028</v>
      </c>
      <c r="C2243" s="16" t="s">
        <v>23</v>
      </c>
      <c r="D2243" s="16" t="s">
        <v>23</v>
      </c>
      <c r="E2243" s="16"/>
      <c r="F2243" s="16"/>
      <c r="G2243" s="47"/>
      <c r="H2243" s="47"/>
      <c r="I2243" s="18"/>
      <c r="J2243" s="18"/>
      <c r="K2243" s="18"/>
      <c r="L2243" s="25"/>
    </row>
    <row r="2244" customHeight="1" spans="1:12">
      <c r="A2244" s="14" t="str">
        <f t="shared" si="44"/>
        <v>0x0000040C</v>
      </c>
      <c r="B2244" s="15">
        <f>SUM_HEX(C2243:F2243,B2243,3)</f>
        <v>1036</v>
      </c>
      <c r="C2244" s="16" t="s">
        <v>274</v>
      </c>
      <c r="D2244" s="16"/>
      <c r="E2244" s="16"/>
      <c r="F2244" s="16"/>
      <c r="G2244" s="48"/>
      <c r="H2244" s="48"/>
      <c r="I2244" s="18"/>
      <c r="J2244" s="18"/>
      <c r="K2244" s="18"/>
      <c r="L2244" s="25"/>
    </row>
    <row r="2245" customHeight="1" spans="1:12">
      <c r="A2245" s="14" t="str">
        <f t="shared" si="44"/>
        <v>0x00000410</v>
      </c>
      <c r="B2245" s="15">
        <f>SUM_HEX(C2244:F2244,B2244,3)</f>
        <v>1040</v>
      </c>
      <c r="C2245" s="16" t="s">
        <v>23</v>
      </c>
      <c r="D2245" s="16"/>
      <c r="E2245" s="16"/>
      <c r="F2245" s="16"/>
      <c r="G2245" s="46" t="s">
        <v>157</v>
      </c>
      <c r="H2245" s="46"/>
      <c r="I2245" s="18"/>
      <c r="J2245" s="18"/>
      <c r="K2245" s="18"/>
      <c r="L2245" s="25"/>
    </row>
    <row r="2246" customHeight="1" spans="1:12">
      <c r="A2246" s="14" t="str">
        <f t="shared" si="44"/>
        <v>0x00000414</v>
      </c>
      <c r="B2246" s="15">
        <f>SUM_HEX(C2245:F2245,B2245,3)</f>
        <v>1044</v>
      </c>
      <c r="C2246" s="16" t="s">
        <v>442</v>
      </c>
      <c r="D2246" s="16"/>
      <c r="E2246" s="16"/>
      <c r="F2246" s="16"/>
      <c r="G2246" s="47"/>
      <c r="H2246" s="47"/>
      <c r="I2246" s="18"/>
      <c r="J2246" s="18"/>
      <c r="K2246" s="18"/>
      <c r="L2246" s="25"/>
    </row>
    <row r="2247" customHeight="1" spans="1:12">
      <c r="A2247" s="14" t="str">
        <f t="shared" si="44"/>
        <v>0x00000418</v>
      </c>
      <c r="B2247" s="15">
        <f>SUM_HEX(C2246:F2246,B2246,3)</f>
        <v>1048</v>
      </c>
      <c r="C2247" s="16" t="s">
        <v>23</v>
      </c>
      <c r="D2247" s="16" t="s">
        <v>23</v>
      </c>
      <c r="E2247" s="16"/>
      <c r="F2247" s="16"/>
      <c r="G2247" s="47"/>
      <c r="H2247" s="47"/>
      <c r="I2247" s="18"/>
      <c r="J2247" s="18"/>
      <c r="K2247" s="18"/>
      <c r="L2247" s="25"/>
    </row>
    <row r="2248" customHeight="1" spans="1:12">
      <c r="A2248" s="14" t="str">
        <f t="shared" si="44"/>
        <v>0x00000420</v>
      </c>
      <c r="B2248" s="15">
        <f>SUM_HEX(C2247:F2247,B2247,3)</f>
        <v>1056</v>
      </c>
      <c r="C2248" s="16" t="s">
        <v>274</v>
      </c>
      <c r="D2248" s="16"/>
      <c r="E2248" s="16"/>
      <c r="F2248" s="16"/>
      <c r="G2248" s="48"/>
      <c r="H2248" s="48"/>
      <c r="I2248" s="18"/>
      <c r="J2248" s="18"/>
      <c r="K2248" s="18"/>
      <c r="L2248" s="25"/>
    </row>
    <row r="2249" customHeight="1" spans="1:12">
      <c r="A2249" s="14" t="str">
        <f t="shared" si="44"/>
        <v>0x00000424</v>
      </c>
      <c r="B2249" s="15">
        <f>SUM_HEX(C2248:F2248,B2248,3)</f>
        <v>1060</v>
      </c>
      <c r="C2249" s="16" t="s">
        <v>23</v>
      </c>
      <c r="D2249" s="16"/>
      <c r="E2249" s="16"/>
      <c r="F2249" s="16"/>
      <c r="G2249" s="18" t="s">
        <v>15</v>
      </c>
      <c r="H2249" s="18"/>
      <c r="I2249" s="24" t="s">
        <v>443</v>
      </c>
      <c r="J2249" s="18"/>
      <c r="K2249" s="18" t="s">
        <v>416</v>
      </c>
      <c r="L2249" s="25"/>
    </row>
    <row r="2250" customHeight="1" spans="1:12">
      <c r="A2250" s="14" t="str">
        <f t="shared" si="44"/>
        <v>0x00000428</v>
      </c>
      <c r="B2250" s="15">
        <f>SUM_HEX(C2249:F2249,B2249,3)</f>
        <v>1064</v>
      </c>
      <c r="C2250" s="16" t="s">
        <v>23</v>
      </c>
      <c r="D2250" s="16"/>
      <c r="E2250" s="16"/>
      <c r="F2250" s="16"/>
      <c r="G2250" s="46" t="s">
        <v>157</v>
      </c>
      <c r="H2250" s="46" t="s">
        <v>212</v>
      </c>
      <c r="I2250" s="18" t="s">
        <v>444</v>
      </c>
      <c r="J2250" s="18"/>
      <c r="K2250" s="18"/>
      <c r="L2250" s="25"/>
    </row>
    <row r="2251" customHeight="1" spans="1:12">
      <c r="A2251" s="14" t="str">
        <f t="shared" si="44"/>
        <v>0x0000042C</v>
      </c>
      <c r="B2251" s="15">
        <f>SUM_HEX(C2250:F2250,B2250,3)</f>
        <v>1068</v>
      </c>
      <c r="C2251" s="16" t="s">
        <v>445</v>
      </c>
      <c r="D2251" s="16"/>
      <c r="E2251" s="16"/>
      <c r="F2251" s="16"/>
      <c r="G2251" s="47"/>
      <c r="H2251" s="47"/>
      <c r="I2251" s="18"/>
      <c r="J2251" s="18"/>
      <c r="K2251" s="18"/>
      <c r="L2251" s="25"/>
    </row>
    <row r="2252" customHeight="1" spans="1:12">
      <c r="A2252" s="14" t="str">
        <f t="shared" si="44"/>
        <v>0x00000430</v>
      </c>
      <c r="B2252" s="15">
        <f>SUM_HEX(C2251:F2251,B2251,3)</f>
        <v>1072</v>
      </c>
      <c r="C2252" s="16" t="s">
        <v>23</v>
      </c>
      <c r="D2252" s="16" t="s">
        <v>23</v>
      </c>
      <c r="E2252" s="16"/>
      <c r="F2252" s="16"/>
      <c r="G2252" s="47"/>
      <c r="H2252" s="47"/>
      <c r="I2252" s="18"/>
      <c r="J2252" s="18"/>
      <c r="K2252" s="18"/>
      <c r="L2252" s="25"/>
    </row>
    <row r="2253" customHeight="1" spans="1:12">
      <c r="A2253" s="14" t="str">
        <f t="shared" si="44"/>
        <v>0x00000438</v>
      </c>
      <c r="B2253" s="15">
        <f>SUM_HEX(C2252:F2252,B2252,3)</f>
        <v>1080</v>
      </c>
      <c r="C2253" s="16" t="s">
        <v>274</v>
      </c>
      <c r="D2253" s="16"/>
      <c r="E2253" s="16"/>
      <c r="F2253" s="16"/>
      <c r="G2253" s="48"/>
      <c r="H2253" s="48"/>
      <c r="I2253" s="18"/>
      <c r="J2253" s="18"/>
      <c r="K2253" s="18"/>
      <c r="L2253" s="25"/>
    </row>
    <row r="2254" customHeight="1" spans="1:12">
      <c r="A2254" s="14" t="str">
        <f t="shared" si="44"/>
        <v>0x0000043C</v>
      </c>
      <c r="B2254" s="15">
        <f>SUM_HEX(C2253:F2253,B2253,3)</f>
        <v>1084</v>
      </c>
      <c r="C2254" s="16" t="s">
        <v>23</v>
      </c>
      <c r="D2254" s="16"/>
      <c r="E2254" s="16"/>
      <c r="F2254" s="16"/>
      <c r="G2254" s="46" t="s">
        <v>157</v>
      </c>
      <c r="H2254" s="46" t="s">
        <v>212</v>
      </c>
      <c r="I2254" s="18" t="s">
        <v>446</v>
      </c>
      <c r="J2254" s="18"/>
      <c r="K2254" s="18"/>
      <c r="L2254" s="25"/>
    </row>
    <row r="2255" customHeight="1" spans="1:12">
      <c r="A2255" s="14" t="str">
        <f t="shared" si="44"/>
        <v>0x00000440</v>
      </c>
      <c r="B2255" s="15">
        <f>SUM_HEX(C2254:F2254,B2254,3)</f>
        <v>1088</v>
      </c>
      <c r="C2255" s="16" t="s">
        <v>447</v>
      </c>
      <c r="D2255" s="16"/>
      <c r="E2255" s="16"/>
      <c r="F2255" s="16"/>
      <c r="G2255" s="47"/>
      <c r="H2255" s="47"/>
      <c r="I2255" s="18"/>
      <c r="J2255" s="18"/>
      <c r="K2255" s="18"/>
      <c r="L2255" s="25"/>
    </row>
    <row r="2256" customHeight="1" spans="1:12">
      <c r="A2256" s="14" t="str">
        <f t="shared" si="44"/>
        <v>0x00000444</v>
      </c>
      <c r="B2256" s="15">
        <f>SUM_HEX(C2255:F2255,B2255,3)</f>
        <v>1092</v>
      </c>
      <c r="C2256" s="16" t="s">
        <v>23</v>
      </c>
      <c r="D2256" s="16" t="s">
        <v>23</v>
      </c>
      <c r="E2256" s="16"/>
      <c r="F2256" s="16"/>
      <c r="G2256" s="47"/>
      <c r="H2256" s="47"/>
      <c r="I2256" s="18"/>
      <c r="J2256" s="18"/>
      <c r="K2256" s="18"/>
      <c r="L2256" s="25"/>
    </row>
    <row r="2257" customHeight="1" spans="1:12">
      <c r="A2257" s="14" t="str">
        <f t="shared" si="44"/>
        <v>0x0000044C</v>
      </c>
      <c r="B2257" s="15">
        <f>SUM_HEX(C2256:F2256,B2256,3)</f>
        <v>1100</v>
      </c>
      <c r="C2257" s="16" t="s">
        <v>274</v>
      </c>
      <c r="D2257" s="16"/>
      <c r="E2257" s="16"/>
      <c r="F2257" s="16"/>
      <c r="G2257" s="48"/>
      <c r="H2257" s="48"/>
      <c r="I2257" s="18"/>
      <c r="J2257" s="18"/>
      <c r="K2257" s="18"/>
      <c r="L2257" s="25"/>
    </row>
    <row r="2258" customHeight="1" spans="1:12">
      <c r="A2258" s="14" t="str">
        <f t="shared" si="44"/>
        <v>0x00000450</v>
      </c>
      <c r="B2258" s="15">
        <f>SUM_HEX(C2257:F2257,B2257,3)</f>
        <v>1104</v>
      </c>
      <c r="C2258" s="16" t="s">
        <v>23</v>
      </c>
      <c r="D2258" s="16"/>
      <c r="E2258" s="16"/>
      <c r="F2258" s="16"/>
      <c r="G2258" s="18" t="s">
        <v>15</v>
      </c>
      <c r="H2258" s="18"/>
      <c r="I2258" s="24" t="s">
        <v>448</v>
      </c>
      <c r="J2258" s="18"/>
      <c r="K2258" s="18" t="s">
        <v>416</v>
      </c>
      <c r="L2258" s="25"/>
    </row>
    <row r="2259" customHeight="1" spans="1:12">
      <c r="A2259" s="14" t="str">
        <f t="shared" si="44"/>
        <v>0x00000454</v>
      </c>
      <c r="B2259" s="15">
        <f>SUM_HEX(C2258:F2258,B2258,3)</f>
        <v>1108</v>
      </c>
      <c r="C2259" s="16" t="s">
        <v>23</v>
      </c>
      <c r="D2259" s="16"/>
      <c r="E2259" s="16"/>
      <c r="F2259" s="16"/>
      <c r="G2259" s="46" t="s">
        <v>157</v>
      </c>
      <c r="H2259" s="46" t="s">
        <v>212</v>
      </c>
      <c r="I2259" s="18" t="s">
        <v>449</v>
      </c>
      <c r="J2259" s="18"/>
      <c r="K2259" s="18"/>
      <c r="L2259" s="25"/>
    </row>
    <row r="2260" customHeight="1" spans="1:12">
      <c r="A2260" s="14" t="str">
        <f t="shared" si="44"/>
        <v>0x00000458</v>
      </c>
      <c r="B2260" s="15">
        <f>SUM_HEX(C2259:F2259,B2259,3)</f>
        <v>1112</v>
      </c>
      <c r="C2260" s="16" t="s">
        <v>450</v>
      </c>
      <c r="D2260" s="16"/>
      <c r="E2260" s="16"/>
      <c r="F2260" s="16"/>
      <c r="G2260" s="47"/>
      <c r="H2260" s="47"/>
      <c r="I2260" s="18"/>
      <c r="J2260" s="18"/>
      <c r="K2260" s="18"/>
      <c r="L2260" s="25"/>
    </row>
    <row r="2261" customHeight="1" spans="1:12">
      <c r="A2261" s="14" t="str">
        <f t="shared" si="44"/>
        <v>0x0000045C</v>
      </c>
      <c r="B2261" s="15">
        <f>SUM_HEX(C2260:F2260,B2260,3)</f>
        <v>1116</v>
      </c>
      <c r="C2261" s="16" t="s">
        <v>23</v>
      </c>
      <c r="D2261" s="16" t="s">
        <v>23</v>
      </c>
      <c r="E2261" s="16"/>
      <c r="F2261" s="16"/>
      <c r="G2261" s="47"/>
      <c r="H2261" s="47"/>
      <c r="I2261" s="18"/>
      <c r="J2261" s="18"/>
      <c r="K2261" s="18"/>
      <c r="L2261" s="25"/>
    </row>
    <row r="2262" customHeight="1" spans="1:12">
      <c r="A2262" s="14" t="str">
        <f t="shared" si="44"/>
        <v>0x00000464</v>
      </c>
      <c r="B2262" s="15">
        <f>SUM_HEX(C2261:F2261,B2261,3)</f>
        <v>1124</v>
      </c>
      <c r="C2262" s="16" t="s">
        <v>274</v>
      </c>
      <c r="D2262" s="16"/>
      <c r="E2262" s="16"/>
      <c r="F2262" s="16"/>
      <c r="G2262" s="48"/>
      <c r="H2262" s="48"/>
      <c r="I2262" s="18"/>
      <c r="J2262" s="18"/>
      <c r="K2262" s="18"/>
      <c r="L2262" s="25"/>
    </row>
    <row r="2263" customHeight="1" spans="1:12">
      <c r="A2263" s="14" t="str">
        <f t="shared" si="44"/>
        <v>0x00000468</v>
      </c>
      <c r="B2263" s="15">
        <f>SUM_HEX(C2262:F2262,B2262,3)</f>
        <v>1128</v>
      </c>
      <c r="C2263" s="16" t="s">
        <v>23</v>
      </c>
      <c r="D2263" s="16"/>
      <c r="E2263" s="16"/>
      <c r="F2263" s="16"/>
      <c r="G2263" s="46" t="s">
        <v>157</v>
      </c>
      <c r="H2263" s="46" t="s">
        <v>212</v>
      </c>
      <c r="I2263" s="18" t="s">
        <v>451</v>
      </c>
      <c r="J2263" s="18"/>
      <c r="K2263" s="18"/>
      <c r="L2263" s="25"/>
    </row>
    <row r="2264" customHeight="1" spans="1:12">
      <c r="A2264" s="14" t="str">
        <f t="shared" si="44"/>
        <v>0x0000046C</v>
      </c>
      <c r="B2264" s="15">
        <f>SUM_HEX(C2263:F2263,B2263,3)</f>
        <v>1132</v>
      </c>
      <c r="C2264" s="16" t="s">
        <v>452</v>
      </c>
      <c r="D2264" s="16"/>
      <c r="E2264" s="16"/>
      <c r="F2264" s="16"/>
      <c r="G2264" s="47"/>
      <c r="H2264" s="47"/>
      <c r="I2264" s="18"/>
      <c r="J2264" s="18"/>
      <c r="K2264" s="18"/>
      <c r="L2264" s="25"/>
    </row>
    <row r="2265" customHeight="1" spans="1:12">
      <c r="A2265" s="14" t="str">
        <f t="shared" si="44"/>
        <v>0x00000470</v>
      </c>
      <c r="B2265" s="15">
        <f>SUM_HEX(C2264:F2264,B2264,3)</f>
        <v>1136</v>
      </c>
      <c r="C2265" s="16" t="s">
        <v>23</v>
      </c>
      <c r="D2265" s="16" t="s">
        <v>23</v>
      </c>
      <c r="E2265" s="16"/>
      <c r="F2265" s="16"/>
      <c r="G2265" s="47"/>
      <c r="H2265" s="47"/>
      <c r="I2265" s="18"/>
      <c r="J2265" s="18"/>
      <c r="K2265" s="18"/>
      <c r="L2265" s="25"/>
    </row>
    <row r="2266" customHeight="1" spans="1:12">
      <c r="A2266" s="14" t="str">
        <f t="shared" si="44"/>
        <v>0x00000478</v>
      </c>
      <c r="B2266" s="15">
        <f>SUM_HEX(C2265:F2265,B2265,3)</f>
        <v>1144</v>
      </c>
      <c r="C2266" s="16" t="s">
        <v>274</v>
      </c>
      <c r="D2266" s="16"/>
      <c r="E2266" s="16"/>
      <c r="F2266" s="16"/>
      <c r="G2266" s="48"/>
      <c r="H2266" s="48"/>
      <c r="I2266" s="18"/>
      <c r="J2266" s="18"/>
      <c r="K2266" s="18"/>
      <c r="L2266" s="25"/>
    </row>
    <row r="2267" customHeight="1" spans="1:12">
      <c r="A2267" s="14" t="str">
        <f t="shared" si="44"/>
        <v>0x0000047C</v>
      </c>
      <c r="B2267" s="15">
        <f>SUM_HEX(C2266:F2266,B2266,3)</f>
        <v>1148</v>
      </c>
      <c r="C2267" s="16" t="s">
        <v>23</v>
      </c>
      <c r="D2267" s="16"/>
      <c r="E2267" s="16"/>
      <c r="F2267" s="16"/>
      <c r="G2267" s="18" t="s">
        <v>15</v>
      </c>
      <c r="H2267" s="18"/>
      <c r="I2267" s="24" t="s">
        <v>453</v>
      </c>
      <c r="J2267" s="18"/>
      <c r="K2267" s="18" t="s">
        <v>416</v>
      </c>
      <c r="L2267" s="25"/>
    </row>
    <row r="2268" customHeight="1" spans="1:12">
      <c r="A2268" s="14" t="str">
        <f t="shared" si="44"/>
        <v>0x00000480</v>
      </c>
      <c r="B2268" s="15">
        <f>SUM_HEX(C2267:F2267,B2267,3)</f>
        <v>1152</v>
      </c>
      <c r="C2268" s="16" t="s">
        <v>23</v>
      </c>
      <c r="D2268" s="16"/>
      <c r="E2268" s="16"/>
      <c r="F2268" s="16"/>
      <c r="G2268" s="46" t="s">
        <v>157</v>
      </c>
      <c r="H2268" s="46" t="s">
        <v>212</v>
      </c>
      <c r="I2268" s="18" t="s">
        <v>454</v>
      </c>
      <c r="J2268" s="18"/>
      <c r="K2268" s="18"/>
      <c r="L2268" s="25"/>
    </row>
    <row r="2269" customHeight="1" spans="1:12">
      <c r="A2269" s="14" t="str">
        <f t="shared" si="44"/>
        <v>0x00000484</v>
      </c>
      <c r="B2269" s="15">
        <f>SUM_HEX(C2268:F2268,B2268,3)</f>
        <v>1156</v>
      </c>
      <c r="C2269" s="16" t="s">
        <v>455</v>
      </c>
      <c r="D2269" s="16"/>
      <c r="E2269" s="16"/>
      <c r="F2269" s="16"/>
      <c r="G2269" s="47"/>
      <c r="H2269" s="47"/>
      <c r="I2269" s="18"/>
      <c r="J2269" s="18"/>
      <c r="K2269" s="18"/>
      <c r="L2269" s="25"/>
    </row>
    <row r="2270" customHeight="1" spans="1:12">
      <c r="A2270" s="14" t="str">
        <f t="shared" si="44"/>
        <v>0x00000488</v>
      </c>
      <c r="B2270" s="15">
        <f>SUM_HEX(C2269:F2269,B2269,3)</f>
        <v>1160</v>
      </c>
      <c r="C2270" s="16" t="s">
        <v>23</v>
      </c>
      <c r="D2270" s="16" t="s">
        <v>23</v>
      </c>
      <c r="E2270" s="16"/>
      <c r="F2270" s="16"/>
      <c r="G2270" s="47"/>
      <c r="H2270" s="47"/>
      <c r="I2270" s="18"/>
      <c r="J2270" s="18"/>
      <c r="K2270" s="18"/>
      <c r="L2270" s="25"/>
    </row>
    <row r="2271" customHeight="1" spans="1:12">
      <c r="A2271" s="14" t="str">
        <f t="shared" si="44"/>
        <v>0x00000490</v>
      </c>
      <c r="B2271" s="15">
        <f>SUM_HEX(C2270:F2270,B2270,3)</f>
        <v>1168</v>
      </c>
      <c r="C2271" s="16" t="s">
        <v>274</v>
      </c>
      <c r="D2271" s="16"/>
      <c r="E2271" s="16"/>
      <c r="F2271" s="16"/>
      <c r="G2271" s="48"/>
      <c r="H2271" s="48"/>
      <c r="I2271" s="18"/>
      <c r="J2271" s="18"/>
      <c r="K2271" s="18"/>
      <c r="L2271" s="25"/>
    </row>
    <row r="2272" customHeight="1" spans="1:12">
      <c r="A2272" s="14" t="str">
        <f t="shared" si="44"/>
        <v>0x00000494</v>
      </c>
      <c r="B2272" s="15">
        <f>SUM_HEX(C2271:F2271,B2271,3)</f>
        <v>1172</v>
      </c>
      <c r="C2272" s="16" t="s">
        <v>23</v>
      </c>
      <c r="D2272" s="16"/>
      <c r="E2272" s="16"/>
      <c r="F2272" s="16"/>
      <c r="G2272" s="46" t="s">
        <v>157</v>
      </c>
      <c r="H2272" s="46" t="s">
        <v>212</v>
      </c>
      <c r="I2272" s="18" t="s">
        <v>456</v>
      </c>
      <c r="J2272" s="18"/>
      <c r="K2272" s="18"/>
      <c r="L2272" s="25"/>
    </row>
    <row r="2273" customHeight="1" spans="1:12">
      <c r="A2273" s="14" t="str">
        <f t="shared" si="44"/>
        <v>0x00000498</v>
      </c>
      <c r="B2273" s="15">
        <f>SUM_HEX(C2272:F2272,B2272,3)</f>
        <v>1176</v>
      </c>
      <c r="C2273" s="16" t="s">
        <v>457</v>
      </c>
      <c r="D2273" s="16"/>
      <c r="E2273" s="16"/>
      <c r="F2273" s="16"/>
      <c r="G2273" s="47"/>
      <c r="H2273" s="47"/>
      <c r="I2273" s="18"/>
      <c r="J2273" s="18"/>
      <c r="K2273" s="18"/>
      <c r="L2273" s="25"/>
    </row>
    <row r="2274" customHeight="1" spans="1:12">
      <c r="A2274" s="14" t="str">
        <f t="shared" si="44"/>
        <v>0x0000049C</v>
      </c>
      <c r="B2274" s="15">
        <f>SUM_HEX(C2273:F2273,B2273,3)</f>
        <v>1180</v>
      </c>
      <c r="C2274" s="16" t="s">
        <v>23</v>
      </c>
      <c r="D2274" s="16" t="s">
        <v>23</v>
      </c>
      <c r="E2274" s="16"/>
      <c r="F2274" s="16"/>
      <c r="G2274" s="47"/>
      <c r="H2274" s="47"/>
      <c r="I2274" s="18"/>
      <c r="J2274" s="18"/>
      <c r="K2274" s="18"/>
      <c r="L2274" s="25"/>
    </row>
    <row r="2275" customHeight="1" spans="1:12">
      <c r="A2275" s="14" t="str">
        <f t="shared" si="44"/>
        <v>0x000004A4</v>
      </c>
      <c r="B2275" s="15">
        <f>SUM_HEX(C2274:F2274,B2274,3)</f>
        <v>1188</v>
      </c>
      <c r="C2275" s="16" t="s">
        <v>274</v>
      </c>
      <c r="D2275" s="16"/>
      <c r="E2275" s="16"/>
      <c r="F2275" s="16"/>
      <c r="G2275" s="48"/>
      <c r="H2275" s="48"/>
      <c r="I2275" s="18"/>
      <c r="J2275" s="18"/>
      <c r="K2275" s="18"/>
      <c r="L2275" s="25"/>
    </row>
    <row r="2276" customHeight="1" spans="1:12">
      <c r="A2276" s="14" t="str">
        <f t="shared" si="44"/>
        <v>0x000004A8</v>
      </c>
      <c r="B2276" s="15">
        <f>SUM_HEX(C2275:F2275,B2275,3)</f>
        <v>1192</v>
      </c>
      <c r="C2276" s="16" t="s">
        <v>23</v>
      </c>
      <c r="D2276" s="16"/>
      <c r="E2276" s="16"/>
      <c r="F2276" s="16"/>
      <c r="G2276" s="46" t="s">
        <v>157</v>
      </c>
      <c r="H2276" s="46" t="s">
        <v>212</v>
      </c>
      <c r="I2276" s="18" t="s">
        <v>458</v>
      </c>
      <c r="J2276" s="18"/>
      <c r="K2276" s="18"/>
      <c r="L2276" s="25" t="s">
        <v>272</v>
      </c>
    </row>
    <row r="2277" customHeight="1" spans="1:12">
      <c r="A2277" s="14" t="str">
        <f t="shared" si="44"/>
        <v>0x000004AC</v>
      </c>
      <c r="B2277" s="15">
        <f>SUM_HEX(C2276:F2276,B2276,3)</f>
        <v>1196</v>
      </c>
      <c r="C2277" s="16" t="s">
        <v>459</v>
      </c>
      <c r="D2277" s="16"/>
      <c r="E2277" s="16"/>
      <c r="F2277" s="16"/>
      <c r="G2277" s="47"/>
      <c r="H2277" s="47"/>
      <c r="I2277" s="18"/>
      <c r="J2277" s="18"/>
      <c r="K2277" s="18"/>
      <c r="L2277" s="25"/>
    </row>
    <row r="2278" customHeight="1" spans="1:12">
      <c r="A2278" s="14" t="str">
        <f t="shared" si="44"/>
        <v>0x000004B0</v>
      </c>
      <c r="B2278" s="15">
        <f>SUM_HEX(C2277:F2277,B2277,3)</f>
        <v>1200</v>
      </c>
      <c r="C2278" s="16" t="s">
        <v>23</v>
      </c>
      <c r="D2278" s="16" t="s">
        <v>23</v>
      </c>
      <c r="E2278" s="16"/>
      <c r="F2278" s="16"/>
      <c r="G2278" s="47"/>
      <c r="H2278" s="47"/>
      <c r="I2278" s="18"/>
      <c r="J2278" s="18"/>
      <c r="K2278" s="18"/>
      <c r="L2278" s="25"/>
    </row>
    <row r="2279" customHeight="1" spans="1:12">
      <c r="A2279" s="14" t="str">
        <f t="shared" si="44"/>
        <v>0x000004B8</v>
      </c>
      <c r="B2279" s="15">
        <f>SUM_HEX(C2278:F2278,B2278,3)</f>
        <v>1208</v>
      </c>
      <c r="C2279" s="16" t="s">
        <v>274</v>
      </c>
      <c r="D2279" s="16"/>
      <c r="E2279" s="16"/>
      <c r="F2279" s="16"/>
      <c r="G2279" s="48"/>
      <c r="H2279" s="48"/>
      <c r="I2279" s="18"/>
      <c r="J2279" s="18"/>
      <c r="K2279" s="18"/>
      <c r="L2279" s="25"/>
    </row>
    <row r="2280" customHeight="1" spans="1:12">
      <c r="A2280" s="14" t="str">
        <f t="shared" si="44"/>
        <v>0x000004BC</v>
      </c>
      <c r="B2280" s="15">
        <f>SUM_HEX(C2279:F2279,B2279,3)</f>
        <v>1212</v>
      </c>
      <c r="C2280" s="16" t="s">
        <v>23</v>
      </c>
      <c r="D2280" s="16"/>
      <c r="E2280" s="16"/>
      <c r="F2280" s="16"/>
      <c r="G2280" s="46" t="s">
        <v>157</v>
      </c>
      <c r="H2280" s="46" t="s">
        <v>212</v>
      </c>
      <c r="I2280" s="18" t="s">
        <v>460</v>
      </c>
      <c r="J2280" s="18"/>
      <c r="K2280" s="18"/>
      <c r="L2280" s="25"/>
    </row>
    <row r="2281" customHeight="1" spans="1:12">
      <c r="A2281" s="14" t="str">
        <f t="shared" si="44"/>
        <v>0x000004C0</v>
      </c>
      <c r="B2281" s="15">
        <f>SUM_HEX(C2280:F2280,B2280,3)</f>
        <v>1216</v>
      </c>
      <c r="C2281" s="16" t="s">
        <v>461</v>
      </c>
      <c r="D2281" s="16"/>
      <c r="E2281" s="16"/>
      <c r="F2281" s="16"/>
      <c r="G2281" s="47"/>
      <c r="H2281" s="47"/>
      <c r="I2281" s="18"/>
      <c r="J2281" s="18"/>
      <c r="K2281" s="18"/>
      <c r="L2281" s="25"/>
    </row>
    <row r="2282" customHeight="1" spans="1:12">
      <c r="A2282" s="14" t="str">
        <f t="shared" si="44"/>
        <v>0x000004C4</v>
      </c>
      <c r="B2282" s="15">
        <f>SUM_HEX(C2281:F2281,B2281,3)</f>
        <v>1220</v>
      </c>
      <c r="C2282" s="16" t="s">
        <v>23</v>
      </c>
      <c r="D2282" s="16" t="s">
        <v>23</v>
      </c>
      <c r="E2282" s="16"/>
      <c r="F2282" s="16"/>
      <c r="G2282" s="47"/>
      <c r="H2282" s="47"/>
      <c r="I2282" s="18"/>
      <c r="J2282" s="18"/>
      <c r="K2282" s="18"/>
      <c r="L2282" s="25"/>
    </row>
    <row r="2283" customHeight="1" spans="1:12">
      <c r="A2283" s="14" t="str">
        <f t="shared" si="44"/>
        <v>0x000004CC</v>
      </c>
      <c r="B2283" s="15">
        <f>SUM_HEX(C2282:F2282,B2282,3)</f>
        <v>1228</v>
      </c>
      <c r="C2283" s="16" t="s">
        <v>274</v>
      </c>
      <c r="D2283" s="16"/>
      <c r="E2283" s="16"/>
      <c r="F2283" s="16"/>
      <c r="G2283" s="48"/>
      <c r="H2283" s="48"/>
      <c r="I2283" s="18"/>
      <c r="J2283" s="18"/>
      <c r="K2283" s="18"/>
      <c r="L2283" s="25"/>
    </row>
    <row r="2284" customHeight="1" spans="1:12">
      <c r="A2284" s="14" t="str">
        <f t="shared" si="44"/>
        <v>0x000004D0</v>
      </c>
      <c r="B2284" s="15">
        <f>SUM_HEX(C2283:F2283,B2283,3)</f>
        <v>1232</v>
      </c>
      <c r="C2284" s="16" t="s">
        <v>462</v>
      </c>
      <c r="D2284" s="16"/>
      <c r="E2284" s="16"/>
      <c r="F2284" s="16"/>
      <c r="G2284" s="18" t="s">
        <v>33</v>
      </c>
      <c r="H2284" s="18" t="s">
        <v>54</v>
      </c>
      <c r="I2284" s="24" t="s">
        <v>463</v>
      </c>
      <c r="J2284" s="24" t="s">
        <v>464</v>
      </c>
      <c r="K2284" s="18"/>
      <c r="L2284" s="25"/>
    </row>
    <row r="2285" customHeight="1" spans="1:12">
      <c r="A2285" s="14"/>
      <c r="B2285" s="15"/>
      <c r="C2285" s="16"/>
      <c r="D2285" s="16"/>
      <c r="E2285" s="16"/>
      <c r="F2285" s="16"/>
      <c r="G2285" s="18"/>
      <c r="H2285" s="18" t="s">
        <v>57</v>
      </c>
      <c r="I2285" s="24"/>
      <c r="J2285" s="24" t="s">
        <v>465</v>
      </c>
      <c r="K2285" s="18"/>
      <c r="L2285" s="25"/>
    </row>
    <row r="2286" customHeight="1" spans="1:12">
      <c r="A2286" s="14"/>
      <c r="B2286" s="15"/>
      <c r="C2286" s="16"/>
      <c r="D2286" s="16"/>
      <c r="E2286" s="16"/>
      <c r="F2286" s="16"/>
      <c r="G2286" s="18"/>
      <c r="H2286" s="18" t="s">
        <v>58</v>
      </c>
      <c r="I2286" s="24"/>
      <c r="J2286" s="24" t="s">
        <v>466</v>
      </c>
      <c r="K2286" s="18"/>
      <c r="L2286" s="25"/>
    </row>
    <row r="2287" customHeight="1" spans="1:12">
      <c r="A2287" s="14"/>
      <c r="B2287" s="15"/>
      <c r="C2287" s="16"/>
      <c r="D2287" s="16"/>
      <c r="E2287" s="16"/>
      <c r="F2287" s="16"/>
      <c r="G2287" s="18"/>
      <c r="H2287" s="18" t="s">
        <v>59</v>
      </c>
      <c r="I2287" s="24"/>
      <c r="J2287" s="24" t="s">
        <v>467</v>
      </c>
      <c r="K2287" s="18"/>
      <c r="L2287" s="25"/>
    </row>
    <row r="2288" customHeight="1" spans="1:12">
      <c r="A2288" s="14"/>
      <c r="B2288" s="15"/>
      <c r="C2288" s="16"/>
      <c r="D2288" s="16"/>
      <c r="E2288" s="16"/>
      <c r="F2288" s="16"/>
      <c r="G2288" s="18"/>
      <c r="H2288" s="18" t="s">
        <v>60</v>
      </c>
      <c r="I2288" s="24"/>
      <c r="J2288" s="24" t="s">
        <v>468</v>
      </c>
      <c r="K2288" s="18"/>
      <c r="L2288" s="25"/>
    </row>
    <row r="2289" customHeight="1" spans="1:12">
      <c r="A2289" s="14"/>
      <c r="B2289" s="15"/>
      <c r="C2289" s="16"/>
      <c r="D2289" s="16"/>
      <c r="E2289" s="16"/>
      <c r="F2289" s="16"/>
      <c r="G2289" s="18"/>
      <c r="H2289" s="18" t="s">
        <v>61</v>
      </c>
      <c r="I2289" s="24"/>
      <c r="J2289" s="18"/>
      <c r="K2289" s="18"/>
      <c r="L2289" s="25"/>
    </row>
    <row r="2290" customHeight="1" spans="1:12">
      <c r="A2290" s="14"/>
      <c r="B2290" s="15"/>
      <c r="C2290" s="16"/>
      <c r="D2290" s="16"/>
      <c r="E2290" s="16"/>
      <c r="F2290" s="16"/>
      <c r="G2290" s="18"/>
      <c r="H2290" s="18" t="s">
        <v>62</v>
      </c>
      <c r="I2290" s="24"/>
      <c r="J2290" s="24" t="s">
        <v>469</v>
      </c>
      <c r="K2290" s="18"/>
      <c r="L2290" s="25"/>
    </row>
    <row r="2291" customHeight="1" spans="1:12">
      <c r="A2291" s="14"/>
      <c r="B2291" s="15"/>
      <c r="C2291" s="16"/>
      <c r="D2291" s="16"/>
      <c r="E2291" s="16"/>
      <c r="F2291" s="16"/>
      <c r="G2291" s="18"/>
      <c r="H2291" s="18" t="s">
        <v>63</v>
      </c>
      <c r="I2291" s="24"/>
      <c r="J2291" s="24" t="s">
        <v>470</v>
      </c>
      <c r="K2291" s="18"/>
      <c r="L2291" s="25"/>
    </row>
    <row r="2292" customHeight="1" spans="1:12">
      <c r="A2292" s="14"/>
      <c r="B2292" s="15"/>
      <c r="C2292" s="16"/>
      <c r="D2292" s="16"/>
      <c r="E2292" s="16"/>
      <c r="F2292" s="16"/>
      <c r="G2292" s="18"/>
      <c r="H2292" s="18" t="s">
        <v>64</v>
      </c>
      <c r="I2292" s="24"/>
      <c r="J2292" s="24" t="s">
        <v>471</v>
      </c>
      <c r="K2292" s="18"/>
      <c r="L2292" s="25"/>
    </row>
    <row r="2293" customHeight="1" spans="1:12">
      <c r="A2293" s="14"/>
      <c r="B2293" s="15"/>
      <c r="C2293" s="16"/>
      <c r="D2293" s="16"/>
      <c r="E2293" s="16"/>
      <c r="F2293" s="16"/>
      <c r="G2293" s="18"/>
      <c r="H2293" s="18" t="s">
        <v>65</v>
      </c>
      <c r="I2293" s="24"/>
      <c r="J2293" s="24" t="s">
        <v>472</v>
      </c>
      <c r="K2293" s="18"/>
      <c r="L2293" s="25"/>
    </row>
    <row r="2294" customHeight="1" spans="1:12">
      <c r="A2294" s="14"/>
      <c r="B2294" s="15"/>
      <c r="C2294" s="16"/>
      <c r="D2294" s="16"/>
      <c r="E2294" s="16"/>
      <c r="F2294" s="16"/>
      <c r="G2294" s="18"/>
      <c r="H2294" s="18" t="s">
        <v>66</v>
      </c>
      <c r="I2294" s="24"/>
      <c r="J2294" s="24" t="s">
        <v>473</v>
      </c>
      <c r="K2294" s="18"/>
      <c r="L2294" s="25"/>
    </row>
    <row r="2295" customHeight="1" spans="1:12">
      <c r="A2295" s="14"/>
      <c r="B2295" s="15"/>
      <c r="C2295" s="16"/>
      <c r="D2295" s="16"/>
      <c r="E2295" s="16"/>
      <c r="F2295" s="16"/>
      <c r="G2295" s="18"/>
      <c r="H2295" s="18" t="s">
        <v>67</v>
      </c>
      <c r="I2295" s="24"/>
      <c r="J2295" s="24" t="s">
        <v>474</v>
      </c>
      <c r="K2295" s="18"/>
      <c r="L2295" s="25"/>
    </row>
    <row r="2296" customHeight="1" spans="1:12">
      <c r="A2296" s="14"/>
      <c r="B2296" s="15"/>
      <c r="C2296" s="16"/>
      <c r="D2296" s="16"/>
      <c r="E2296" s="16"/>
      <c r="F2296" s="16"/>
      <c r="G2296" s="18"/>
      <c r="H2296" s="18" t="s">
        <v>68</v>
      </c>
      <c r="I2296" s="24"/>
      <c r="J2296" s="24" t="s">
        <v>475</v>
      </c>
      <c r="K2296" s="18"/>
      <c r="L2296" s="25"/>
    </row>
    <row r="2297" customHeight="1" spans="1:12">
      <c r="A2297" s="14"/>
      <c r="B2297" s="15"/>
      <c r="C2297" s="16"/>
      <c r="D2297" s="16"/>
      <c r="E2297" s="16"/>
      <c r="F2297" s="16"/>
      <c r="G2297" s="18"/>
      <c r="H2297" s="18" t="s">
        <v>69</v>
      </c>
      <c r="I2297" s="24"/>
      <c r="J2297" s="24" t="s">
        <v>476</v>
      </c>
      <c r="K2297" s="18"/>
      <c r="L2297" s="25"/>
    </row>
    <row r="2298" customHeight="1" spans="1:12">
      <c r="A2298" s="14"/>
      <c r="B2298" s="15"/>
      <c r="C2298" s="16"/>
      <c r="D2298" s="16"/>
      <c r="E2298" s="16"/>
      <c r="F2298" s="16"/>
      <c r="G2298" s="18"/>
      <c r="H2298" s="18" t="s">
        <v>70</v>
      </c>
      <c r="I2298" s="24"/>
      <c r="J2298" s="24" t="s">
        <v>477</v>
      </c>
      <c r="K2298" s="18"/>
      <c r="L2298" s="25"/>
    </row>
    <row r="2299" customHeight="1" spans="1:12">
      <c r="A2299" s="14"/>
      <c r="B2299" s="15"/>
      <c r="C2299" s="16"/>
      <c r="D2299" s="16"/>
      <c r="E2299" s="16"/>
      <c r="F2299" s="16"/>
      <c r="G2299" s="18"/>
      <c r="H2299" s="18" t="s">
        <v>71</v>
      </c>
      <c r="I2299" s="24"/>
      <c r="J2299" s="24" t="s">
        <v>478</v>
      </c>
      <c r="K2299" s="18"/>
      <c r="L2299" s="25"/>
    </row>
    <row r="2300" customHeight="1" spans="1:12">
      <c r="A2300" s="14"/>
      <c r="B2300" s="15"/>
      <c r="C2300" s="16"/>
      <c r="D2300" s="16"/>
      <c r="E2300" s="16"/>
      <c r="F2300" s="16"/>
      <c r="G2300" s="18"/>
      <c r="H2300" s="18" t="s">
        <v>72</v>
      </c>
      <c r="I2300" s="24"/>
      <c r="J2300" s="24" t="s">
        <v>479</v>
      </c>
      <c r="K2300" s="18"/>
      <c r="L2300" s="25"/>
    </row>
    <row r="2301" customHeight="1" spans="1:12">
      <c r="A2301" s="14"/>
      <c r="B2301" s="15"/>
      <c r="C2301" s="16"/>
      <c r="D2301" s="16"/>
      <c r="E2301" s="16"/>
      <c r="F2301" s="16"/>
      <c r="G2301" s="18"/>
      <c r="H2301" s="18" t="s">
        <v>73</v>
      </c>
      <c r="I2301" s="24"/>
      <c r="J2301" s="24" t="s">
        <v>480</v>
      </c>
      <c r="K2301" s="18"/>
      <c r="L2301" s="25"/>
    </row>
    <row r="2302" customHeight="1" spans="1:12">
      <c r="A2302" s="14"/>
      <c r="B2302" s="15"/>
      <c r="C2302" s="16"/>
      <c r="D2302" s="16"/>
      <c r="E2302" s="16"/>
      <c r="F2302" s="16"/>
      <c r="G2302" s="18"/>
      <c r="H2302" s="18" t="s">
        <v>74</v>
      </c>
      <c r="I2302" s="24"/>
      <c r="J2302" s="24" t="s">
        <v>481</v>
      </c>
      <c r="K2302" s="18"/>
      <c r="L2302" s="25"/>
    </row>
    <row r="2303" customHeight="1" spans="1:12">
      <c r="A2303" s="14"/>
      <c r="B2303" s="15"/>
      <c r="C2303" s="16"/>
      <c r="D2303" s="16"/>
      <c r="E2303" s="16"/>
      <c r="F2303" s="16"/>
      <c r="G2303" s="18"/>
      <c r="H2303" s="18" t="s">
        <v>75</v>
      </c>
      <c r="I2303" s="24"/>
      <c r="J2303" s="24" t="s">
        <v>482</v>
      </c>
      <c r="K2303" s="18"/>
      <c r="L2303" s="25"/>
    </row>
    <row r="2304" customHeight="1" spans="1:12">
      <c r="A2304" s="14"/>
      <c r="B2304" s="15"/>
      <c r="C2304" s="16"/>
      <c r="D2304" s="16"/>
      <c r="E2304" s="16"/>
      <c r="F2304" s="16"/>
      <c r="G2304" s="18"/>
      <c r="H2304" s="18" t="s">
        <v>76</v>
      </c>
      <c r="I2304" s="24"/>
      <c r="J2304" s="24" t="s">
        <v>483</v>
      </c>
      <c r="K2304" s="18"/>
      <c r="L2304" s="25"/>
    </row>
    <row r="2305" customHeight="1" spans="1:12">
      <c r="A2305" s="14"/>
      <c r="B2305" s="15"/>
      <c r="C2305" s="16"/>
      <c r="D2305" s="16"/>
      <c r="E2305" s="16"/>
      <c r="F2305" s="16"/>
      <c r="G2305" s="18"/>
      <c r="H2305" s="18" t="s">
        <v>77</v>
      </c>
      <c r="I2305" s="24"/>
      <c r="J2305" s="24" t="s">
        <v>484</v>
      </c>
      <c r="K2305" s="18"/>
      <c r="L2305" s="25"/>
    </row>
    <row r="2306" customHeight="1" spans="1:12">
      <c r="A2306" s="14"/>
      <c r="B2306" s="15"/>
      <c r="C2306" s="16"/>
      <c r="D2306" s="16"/>
      <c r="E2306" s="16"/>
      <c r="F2306" s="16"/>
      <c r="G2306" s="18"/>
      <c r="H2306" s="18" t="s">
        <v>78</v>
      </c>
      <c r="I2306" s="24"/>
      <c r="J2306" s="24" t="s">
        <v>485</v>
      </c>
      <c r="K2306" s="18"/>
      <c r="L2306" s="25"/>
    </row>
    <row r="2307" customHeight="1" spans="1:12">
      <c r="A2307" s="14"/>
      <c r="B2307" s="15"/>
      <c r="C2307" s="16"/>
      <c r="D2307" s="16"/>
      <c r="E2307" s="16"/>
      <c r="F2307" s="16"/>
      <c r="G2307" s="18"/>
      <c r="H2307" s="18" t="s">
        <v>79</v>
      </c>
      <c r="I2307" s="24"/>
      <c r="J2307" s="24" t="s">
        <v>486</v>
      </c>
      <c r="K2307" s="18"/>
      <c r="L2307" s="25"/>
    </row>
    <row r="2308" customHeight="1" spans="1:12">
      <c r="A2308" s="14"/>
      <c r="B2308" s="15"/>
      <c r="C2308" s="16"/>
      <c r="D2308" s="16"/>
      <c r="E2308" s="16"/>
      <c r="F2308" s="16"/>
      <c r="G2308" s="18"/>
      <c r="H2308" s="18" t="s">
        <v>80</v>
      </c>
      <c r="I2308" s="24"/>
      <c r="J2308" s="24" t="s">
        <v>487</v>
      </c>
      <c r="K2308" s="18"/>
      <c r="L2308" s="25"/>
    </row>
    <row r="2309" customHeight="1" spans="1:12">
      <c r="A2309" s="14"/>
      <c r="B2309" s="15"/>
      <c r="C2309" s="16"/>
      <c r="D2309" s="16"/>
      <c r="E2309" s="16"/>
      <c r="F2309" s="16"/>
      <c r="G2309" s="18"/>
      <c r="H2309" s="18" t="s">
        <v>81</v>
      </c>
      <c r="I2309" s="24"/>
      <c r="J2309" s="24" t="s">
        <v>488</v>
      </c>
      <c r="K2309" s="18"/>
      <c r="L2309" s="25"/>
    </row>
    <row r="2310" customHeight="1" spans="1:12">
      <c r="A2310" s="14"/>
      <c r="B2310" s="15"/>
      <c r="C2310" s="16"/>
      <c r="D2310" s="16"/>
      <c r="E2310" s="16"/>
      <c r="F2310" s="16"/>
      <c r="G2310" s="18"/>
      <c r="H2310" s="18" t="s">
        <v>82</v>
      </c>
      <c r="I2310" s="24"/>
      <c r="J2310" s="24" t="s">
        <v>489</v>
      </c>
      <c r="K2310" s="18"/>
      <c r="L2310" s="25"/>
    </row>
    <row r="2311" customHeight="1" spans="1:12">
      <c r="A2311" s="14"/>
      <c r="B2311" s="15"/>
      <c r="C2311" s="16"/>
      <c r="D2311" s="16"/>
      <c r="E2311" s="16"/>
      <c r="F2311" s="16"/>
      <c r="G2311" s="18"/>
      <c r="H2311" s="18" t="s">
        <v>83</v>
      </c>
      <c r="I2311" s="24"/>
      <c r="J2311" s="24"/>
      <c r="K2311" s="18"/>
      <c r="L2311" s="25"/>
    </row>
    <row r="2312" customHeight="1" spans="1:12">
      <c r="A2312" s="14"/>
      <c r="B2312" s="15"/>
      <c r="C2312" s="16"/>
      <c r="D2312" s="16"/>
      <c r="E2312" s="16"/>
      <c r="F2312" s="16"/>
      <c r="G2312" s="18"/>
      <c r="H2312" s="18" t="s">
        <v>84</v>
      </c>
      <c r="I2312" s="24"/>
      <c r="J2312" s="24" t="s">
        <v>490</v>
      </c>
      <c r="K2312" s="18"/>
      <c r="L2312" s="25"/>
    </row>
    <row r="2313" customHeight="1" spans="1:12">
      <c r="A2313" s="14"/>
      <c r="B2313" s="15"/>
      <c r="C2313" s="16"/>
      <c r="D2313" s="16"/>
      <c r="E2313" s="16"/>
      <c r="F2313" s="16"/>
      <c r="G2313" s="18"/>
      <c r="H2313" s="18" t="s">
        <v>85</v>
      </c>
      <c r="I2313" s="24"/>
      <c r="J2313" s="24" t="s">
        <v>491</v>
      </c>
      <c r="K2313" s="18"/>
      <c r="L2313" s="25"/>
    </row>
    <row r="2314" customHeight="1" spans="1:12">
      <c r="A2314" s="14"/>
      <c r="B2314" s="15"/>
      <c r="C2314" s="16"/>
      <c r="D2314" s="16"/>
      <c r="E2314" s="16"/>
      <c r="F2314" s="16"/>
      <c r="G2314" s="18"/>
      <c r="H2314" s="18" t="s">
        <v>86</v>
      </c>
      <c r="I2314" s="24"/>
      <c r="J2314" s="24" t="s">
        <v>492</v>
      </c>
      <c r="K2314" s="18"/>
      <c r="L2314" s="25"/>
    </row>
    <row r="2315" customHeight="1" spans="1:12">
      <c r="A2315" s="14"/>
      <c r="B2315" s="15"/>
      <c r="C2315" s="16"/>
      <c r="D2315" s="16"/>
      <c r="E2315" s="16"/>
      <c r="F2315" s="16"/>
      <c r="G2315" s="18"/>
      <c r="H2315" s="18" t="s">
        <v>87</v>
      </c>
      <c r="I2315" s="24"/>
      <c r="J2315" s="24"/>
      <c r="K2315" s="18"/>
      <c r="L2315" s="25"/>
    </row>
    <row r="2316" customHeight="1" spans="1:12">
      <c r="A2316" s="14" t="str">
        <f>"0x"&amp;DEC2HEX(B2316,8)</f>
        <v>0x000004D4</v>
      </c>
      <c r="B2316" s="15">
        <f>SUM_HEX(C2284:F2315,B2284,3)</f>
        <v>1236</v>
      </c>
      <c r="C2316" s="16" t="s">
        <v>493</v>
      </c>
      <c r="D2316" s="16"/>
      <c r="E2316" s="16"/>
      <c r="F2316" s="16"/>
      <c r="G2316" s="18" t="s">
        <v>33</v>
      </c>
      <c r="H2316" s="18" t="s">
        <v>54</v>
      </c>
      <c r="I2316" s="24" t="s">
        <v>494</v>
      </c>
      <c r="J2316" s="18" t="s">
        <v>495</v>
      </c>
      <c r="K2316" s="18"/>
      <c r="L2316" s="25"/>
    </row>
    <row r="2317" customHeight="1" spans="1:12">
      <c r="A2317" s="14"/>
      <c r="B2317" s="15"/>
      <c r="C2317" s="16"/>
      <c r="D2317" s="16"/>
      <c r="E2317" s="16"/>
      <c r="F2317" s="16"/>
      <c r="G2317" s="18"/>
      <c r="H2317" s="18" t="s">
        <v>57</v>
      </c>
      <c r="I2317" s="24"/>
      <c r="J2317" s="18" t="s">
        <v>496</v>
      </c>
      <c r="K2317" s="18"/>
      <c r="L2317" s="25"/>
    </row>
    <row r="2318" customHeight="1" spans="1:12">
      <c r="A2318" s="14"/>
      <c r="B2318" s="15"/>
      <c r="C2318" s="16"/>
      <c r="D2318" s="16"/>
      <c r="E2318" s="16"/>
      <c r="F2318" s="16"/>
      <c r="G2318" s="18"/>
      <c r="H2318" s="18" t="s">
        <v>58</v>
      </c>
      <c r="I2318" s="24"/>
      <c r="J2318" s="18" t="s">
        <v>497</v>
      </c>
      <c r="K2318" s="18"/>
      <c r="L2318" s="25"/>
    </row>
    <row r="2319" customHeight="1" spans="1:12">
      <c r="A2319" s="14"/>
      <c r="B2319" s="15"/>
      <c r="C2319" s="16"/>
      <c r="D2319" s="16"/>
      <c r="E2319" s="16"/>
      <c r="F2319" s="16"/>
      <c r="G2319" s="18"/>
      <c r="H2319" s="18" t="s">
        <v>59</v>
      </c>
      <c r="I2319" s="24"/>
      <c r="J2319" s="18" t="s">
        <v>498</v>
      </c>
      <c r="K2319" s="18"/>
      <c r="L2319" s="25"/>
    </row>
    <row r="2320" customHeight="1" spans="1:12">
      <c r="A2320" s="14"/>
      <c r="B2320" s="15"/>
      <c r="C2320" s="16"/>
      <c r="D2320" s="16"/>
      <c r="E2320" s="16"/>
      <c r="F2320" s="16"/>
      <c r="G2320" s="18"/>
      <c r="H2320" s="18" t="s">
        <v>60</v>
      </c>
      <c r="I2320" s="24"/>
      <c r="J2320" s="18" t="s">
        <v>499</v>
      </c>
      <c r="K2320" s="18"/>
      <c r="L2320" s="25"/>
    </row>
    <row r="2321" customHeight="1" spans="1:12">
      <c r="A2321" s="14"/>
      <c r="B2321" s="15"/>
      <c r="C2321" s="16"/>
      <c r="D2321" s="16"/>
      <c r="E2321" s="16"/>
      <c r="F2321" s="16"/>
      <c r="G2321" s="18"/>
      <c r="H2321" s="18" t="s">
        <v>61</v>
      </c>
      <c r="I2321" s="24"/>
      <c r="J2321" s="18" t="s">
        <v>500</v>
      </c>
      <c r="K2321" s="18"/>
      <c r="L2321" s="25"/>
    </row>
    <row r="2322" customHeight="1" spans="1:12">
      <c r="A2322" s="14"/>
      <c r="B2322" s="15"/>
      <c r="C2322" s="16"/>
      <c r="D2322" s="16"/>
      <c r="E2322" s="16"/>
      <c r="F2322" s="16"/>
      <c r="G2322" s="18"/>
      <c r="H2322" s="18" t="s">
        <v>62</v>
      </c>
      <c r="I2322" s="24"/>
      <c r="J2322" s="18"/>
      <c r="K2322" s="18"/>
      <c r="L2322" s="25"/>
    </row>
    <row r="2323" customHeight="1" spans="1:12">
      <c r="A2323" s="14"/>
      <c r="B2323" s="15"/>
      <c r="C2323" s="16"/>
      <c r="D2323" s="16"/>
      <c r="E2323" s="16"/>
      <c r="F2323" s="16"/>
      <c r="G2323" s="18"/>
      <c r="H2323" s="18" t="s">
        <v>63</v>
      </c>
      <c r="I2323" s="24"/>
      <c r="J2323" s="18" t="s">
        <v>501</v>
      </c>
      <c r="K2323" s="18"/>
      <c r="L2323" s="25"/>
    </row>
    <row r="2324" customHeight="1" spans="1:12">
      <c r="A2324" s="14" t="str">
        <f t="shared" ref="A2324:A2369" si="45">"0x"&amp;DEC2HEX(B2324,8)</f>
        <v>0x000004D8</v>
      </c>
      <c r="B2324" s="15">
        <f>SUM_HEX(C2316:F2316,B2316,3)</f>
        <v>1240</v>
      </c>
      <c r="C2324" s="16" t="s">
        <v>23</v>
      </c>
      <c r="D2324" s="16"/>
      <c r="E2324" s="16"/>
      <c r="F2324" s="16"/>
      <c r="G2324" s="18" t="s">
        <v>15</v>
      </c>
      <c r="H2324" s="18"/>
      <c r="I2324" s="24" t="s">
        <v>502</v>
      </c>
      <c r="J2324" s="18"/>
      <c r="K2324" s="18" t="s">
        <v>372</v>
      </c>
      <c r="L2324" s="25"/>
    </row>
    <row r="2325" customHeight="1" spans="1:12">
      <c r="A2325" s="14" t="str">
        <f t="shared" si="45"/>
        <v>0x000004DC</v>
      </c>
      <c r="B2325" s="15">
        <f>SUM_HEX(C2324:F2324,B2324,3)</f>
        <v>1244</v>
      </c>
      <c r="C2325" s="16" t="s">
        <v>23</v>
      </c>
      <c r="D2325" s="16"/>
      <c r="E2325" s="16"/>
      <c r="F2325" s="16"/>
      <c r="G2325" s="18" t="s">
        <v>15</v>
      </c>
      <c r="H2325" s="18"/>
      <c r="I2325" s="24" t="s">
        <v>503</v>
      </c>
      <c r="J2325" s="18"/>
      <c r="K2325" s="18" t="s">
        <v>372</v>
      </c>
      <c r="L2325" s="25"/>
    </row>
    <row r="2326" customHeight="1" spans="1:12">
      <c r="A2326" s="14" t="str">
        <f t="shared" si="45"/>
        <v>0x000004E0</v>
      </c>
      <c r="B2326" s="15">
        <f>SUM_HEX(C2325:F2325,B2325,3)</f>
        <v>1248</v>
      </c>
      <c r="C2326" s="16" t="s">
        <v>23</v>
      </c>
      <c r="D2326" s="16"/>
      <c r="E2326" s="16"/>
      <c r="F2326" s="16"/>
      <c r="G2326" s="18" t="s">
        <v>15</v>
      </c>
      <c r="H2326" s="18"/>
      <c r="I2326" s="24" t="s">
        <v>504</v>
      </c>
      <c r="J2326" s="18"/>
      <c r="K2326" s="18" t="s">
        <v>372</v>
      </c>
      <c r="L2326" s="25"/>
    </row>
    <row r="2327" customHeight="1" spans="1:12">
      <c r="A2327" s="14" t="str">
        <f t="shared" si="45"/>
        <v>0x000004E4</v>
      </c>
      <c r="B2327" s="15">
        <f>SUM_HEX(C2326:F2326,B2326,3)</f>
        <v>1252</v>
      </c>
      <c r="C2327" s="16" t="s">
        <v>23</v>
      </c>
      <c r="D2327" s="16"/>
      <c r="E2327" s="16"/>
      <c r="F2327" s="16"/>
      <c r="G2327" s="46" t="s">
        <v>157</v>
      </c>
      <c r="H2327" s="46" t="s">
        <v>212</v>
      </c>
      <c r="I2327" s="18" t="s">
        <v>505</v>
      </c>
      <c r="J2327" s="18"/>
      <c r="K2327" s="18"/>
      <c r="L2327" s="25"/>
    </row>
    <row r="2328" customHeight="1" spans="1:12">
      <c r="A2328" s="14" t="str">
        <f t="shared" si="45"/>
        <v>0x000004E8</v>
      </c>
      <c r="B2328" s="15">
        <f>SUM_HEX(C2327:F2327,B2327,3)</f>
        <v>1256</v>
      </c>
      <c r="C2328" s="16" t="s">
        <v>506</v>
      </c>
      <c r="D2328" s="16"/>
      <c r="E2328" s="16"/>
      <c r="F2328" s="16"/>
      <c r="G2328" s="47"/>
      <c r="H2328" s="47"/>
      <c r="I2328" s="18"/>
      <c r="J2328" s="18"/>
      <c r="K2328" s="18"/>
      <c r="L2328" s="25"/>
    </row>
    <row r="2329" customHeight="1" spans="1:12">
      <c r="A2329" s="14" t="str">
        <f t="shared" si="45"/>
        <v>0x000004EC</v>
      </c>
      <c r="B2329" s="15">
        <f>SUM_HEX(C2328:F2328,B2328,3)</f>
        <v>1260</v>
      </c>
      <c r="C2329" s="16" t="s">
        <v>507</v>
      </c>
      <c r="D2329" s="16" t="s">
        <v>23</v>
      </c>
      <c r="E2329" s="16"/>
      <c r="F2329" s="16"/>
      <c r="G2329" s="47"/>
      <c r="H2329" s="47"/>
      <c r="I2329" s="18"/>
      <c r="J2329" s="18"/>
      <c r="K2329" s="18"/>
      <c r="L2329" s="25"/>
    </row>
    <row r="2330" customHeight="1" spans="1:12">
      <c r="A2330" s="14" t="str">
        <f t="shared" si="45"/>
        <v>0x000004F4</v>
      </c>
      <c r="B2330" s="15">
        <f>SUM_HEX(C2329:F2329,B2329,3)</f>
        <v>1268</v>
      </c>
      <c r="C2330" s="16" t="s">
        <v>274</v>
      </c>
      <c r="D2330" s="16"/>
      <c r="E2330" s="16"/>
      <c r="F2330" s="16"/>
      <c r="G2330" s="48"/>
      <c r="H2330" s="48"/>
      <c r="I2330" s="18"/>
      <c r="J2330" s="18"/>
      <c r="K2330" s="18"/>
      <c r="L2330" s="25"/>
    </row>
    <row r="2331" customHeight="1" spans="1:12">
      <c r="A2331" s="14" t="str">
        <f t="shared" si="45"/>
        <v>0x000004F8</v>
      </c>
      <c r="B2331" s="15">
        <f>SUM_HEX(C2330:F2330,B2330,3)</f>
        <v>1272</v>
      </c>
      <c r="C2331" s="16" t="s">
        <v>23</v>
      </c>
      <c r="D2331" s="16"/>
      <c r="E2331" s="16"/>
      <c r="F2331" s="16"/>
      <c r="G2331" s="46" t="s">
        <v>157</v>
      </c>
      <c r="H2331" s="46" t="s">
        <v>508</v>
      </c>
      <c r="I2331" s="24" t="s">
        <v>509</v>
      </c>
      <c r="J2331" s="18"/>
      <c r="K2331" s="18"/>
      <c r="L2331" s="25"/>
    </row>
    <row r="2332" customHeight="1" spans="1:12">
      <c r="A2332" s="14" t="str">
        <f t="shared" si="45"/>
        <v>0x000004FC</v>
      </c>
      <c r="B2332" s="15">
        <f>SUM_HEX(C2331:F2331,B2331,3)</f>
        <v>1276</v>
      </c>
      <c r="C2332" s="16" t="s">
        <v>510</v>
      </c>
      <c r="D2332" s="16"/>
      <c r="E2332" s="16"/>
      <c r="F2332" s="16"/>
      <c r="G2332" s="47"/>
      <c r="H2332" s="47"/>
      <c r="I2332" s="18"/>
      <c r="J2332" s="18"/>
      <c r="K2332" s="18"/>
      <c r="L2332" s="25"/>
    </row>
    <row r="2333" customHeight="1" spans="1:12">
      <c r="A2333" s="14" t="str">
        <f t="shared" si="45"/>
        <v>0x00000500</v>
      </c>
      <c r="B2333" s="15">
        <f>SUM_HEX(C2332:F2332,B2332,3)</f>
        <v>1280</v>
      </c>
      <c r="C2333" s="16" t="s">
        <v>23</v>
      </c>
      <c r="D2333" s="16" t="s">
        <v>23</v>
      </c>
      <c r="E2333" s="16"/>
      <c r="F2333" s="16"/>
      <c r="G2333" s="47"/>
      <c r="H2333" s="47"/>
      <c r="I2333" s="18"/>
      <c r="J2333" s="18"/>
      <c r="K2333" s="18"/>
      <c r="L2333" s="25"/>
    </row>
    <row r="2334" customHeight="1" spans="1:12">
      <c r="A2334" s="14" t="str">
        <f t="shared" si="45"/>
        <v>0x00000508</v>
      </c>
      <c r="B2334" s="15">
        <f>SUM_HEX(C2333:F2333,B2333,3)</f>
        <v>1288</v>
      </c>
      <c r="C2334" s="16" t="s">
        <v>23</v>
      </c>
      <c r="D2334" s="16" t="s">
        <v>23</v>
      </c>
      <c r="E2334" s="16"/>
      <c r="F2334" s="16"/>
      <c r="G2334" s="47"/>
      <c r="H2334" s="47"/>
      <c r="I2334" s="18"/>
      <c r="J2334" s="18"/>
      <c r="K2334" s="18"/>
      <c r="L2334" s="25"/>
    </row>
    <row r="2335" customHeight="1" spans="1:12">
      <c r="A2335" s="14" t="str">
        <f t="shared" si="45"/>
        <v>0x00000510</v>
      </c>
      <c r="B2335" s="15">
        <f>SUM_HEX(C2334:F2334,B2334,3)</f>
        <v>1296</v>
      </c>
      <c r="C2335" s="16" t="s">
        <v>274</v>
      </c>
      <c r="D2335" s="16"/>
      <c r="E2335" s="16"/>
      <c r="F2335" s="16"/>
      <c r="G2335" s="48"/>
      <c r="H2335" s="48"/>
      <c r="I2335" s="18"/>
      <c r="J2335" s="18"/>
      <c r="K2335" s="18"/>
      <c r="L2335" s="25"/>
    </row>
    <row r="2336" customHeight="1" spans="1:12">
      <c r="A2336" s="14" t="str">
        <f t="shared" si="45"/>
        <v>0x00000514</v>
      </c>
      <c r="B2336" s="15">
        <f>SUM_HEX(C2335:F2335,B2335,3)</f>
        <v>1300</v>
      </c>
      <c r="C2336" s="16" t="s">
        <v>23</v>
      </c>
      <c r="D2336" s="16"/>
      <c r="E2336" s="16"/>
      <c r="F2336" s="16"/>
      <c r="G2336" s="46" t="s">
        <v>157</v>
      </c>
      <c r="H2336" s="46" t="s">
        <v>326</v>
      </c>
      <c r="I2336" s="24" t="s">
        <v>511</v>
      </c>
      <c r="J2336" s="18"/>
      <c r="K2336" s="18" t="s">
        <v>512</v>
      </c>
      <c r="L2336" s="25" t="s">
        <v>333</v>
      </c>
    </row>
    <row r="2337" customHeight="1" spans="1:12">
      <c r="A2337" s="14" t="str">
        <f t="shared" si="45"/>
        <v>0x00000518</v>
      </c>
      <c r="B2337" s="15">
        <f>SUM_HEX(C2336:F2336,B2336,3)</f>
        <v>1304</v>
      </c>
      <c r="C2337" s="16" t="s">
        <v>513</v>
      </c>
      <c r="D2337" s="16"/>
      <c r="E2337" s="16"/>
      <c r="F2337" s="16"/>
      <c r="G2337" s="47"/>
      <c r="H2337" s="47"/>
      <c r="I2337" s="18"/>
      <c r="J2337" s="18"/>
      <c r="K2337" s="18"/>
      <c r="L2337" s="25"/>
    </row>
    <row r="2338" customHeight="1" spans="1:12">
      <c r="A2338" s="14" t="str">
        <f t="shared" si="45"/>
        <v>0x0000051C</v>
      </c>
      <c r="B2338" s="15">
        <f>SUM_HEX(C2337:F2337,B2337,3)</f>
        <v>1308</v>
      </c>
      <c r="C2338" s="16" t="s">
        <v>23</v>
      </c>
      <c r="D2338" s="16" t="s">
        <v>23</v>
      </c>
      <c r="E2338" s="16" t="s">
        <v>23</v>
      </c>
      <c r="F2338" s="16"/>
      <c r="G2338" s="47"/>
      <c r="H2338" s="47"/>
      <c r="I2338" s="18"/>
      <c r="J2338" s="18"/>
      <c r="K2338" s="18"/>
      <c r="L2338" s="25"/>
    </row>
    <row r="2339" customHeight="1" spans="1:12">
      <c r="A2339" s="14" t="str">
        <f t="shared" si="45"/>
        <v>0x00000528</v>
      </c>
      <c r="B2339" s="15">
        <f>SUM_HEX(C2338:F2338,B2338,3)</f>
        <v>1320</v>
      </c>
      <c r="C2339" s="16" t="s">
        <v>23</v>
      </c>
      <c r="D2339" s="16" t="s">
        <v>23</v>
      </c>
      <c r="E2339" s="16" t="s">
        <v>23</v>
      </c>
      <c r="F2339" s="16"/>
      <c r="G2339" s="47"/>
      <c r="H2339" s="47"/>
      <c r="I2339" s="18"/>
      <c r="J2339" s="18"/>
      <c r="K2339" s="18"/>
      <c r="L2339" s="25"/>
    </row>
    <row r="2340" customHeight="1" spans="1:12">
      <c r="A2340" s="14" t="str">
        <f t="shared" si="45"/>
        <v>0x00000534</v>
      </c>
      <c r="B2340" s="15">
        <f>SUM_HEX(C2339:F2339,B2339,3)</f>
        <v>1332</v>
      </c>
      <c r="C2340" s="16" t="s">
        <v>274</v>
      </c>
      <c r="D2340" s="16"/>
      <c r="E2340" s="16"/>
      <c r="F2340" s="16"/>
      <c r="G2340" s="48"/>
      <c r="H2340" s="48"/>
      <c r="I2340" s="18"/>
      <c r="J2340" s="18"/>
      <c r="K2340" s="18"/>
      <c r="L2340" s="25"/>
    </row>
    <row r="2341" customHeight="1" spans="1:12">
      <c r="A2341" s="14" t="str">
        <f t="shared" si="45"/>
        <v>0x00000538</v>
      </c>
      <c r="B2341" s="15">
        <f>SUM_HEX(C2340:F2340,B2340,3)</f>
        <v>1336</v>
      </c>
      <c r="C2341" s="16" t="s">
        <v>23</v>
      </c>
      <c r="D2341" s="16"/>
      <c r="E2341" s="16"/>
      <c r="F2341" s="16"/>
      <c r="G2341" s="46" t="s">
        <v>157</v>
      </c>
      <c r="H2341" s="46" t="s">
        <v>508</v>
      </c>
      <c r="I2341" s="24" t="s">
        <v>514</v>
      </c>
      <c r="J2341" s="18"/>
      <c r="K2341" s="18"/>
      <c r="L2341" s="25"/>
    </row>
    <row r="2342" customHeight="1" spans="1:12">
      <c r="A2342" s="14" t="str">
        <f t="shared" si="45"/>
        <v>0x0000053C</v>
      </c>
      <c r="B2342" s="15">
        <f>SUM_HEX(C2341:F2341,B2341,3)</f>
        <v>1340</v>
      </c>
      <c r="C2342" s="16" t="s">
        <v>515</v>
      </c>
      <c r="D2342" s="16"/>
      <c r="E2342" s="16"/>
      <c r="F2342" s="16"/>
      <c r="G2342" s="47"/>
      <c r="H2342" s="47"/>
      <c r="I2342" s="18"/>
      <c r="J2342" s="18"/>
      <c r="K2342" s="18"/>
      <c r="L2342" s="25"/>
    </row>
    <row r="2343" customHeight="1" spans="1:12">
      <c r="A2343" s="14" t="str">
        <f t="shared" si="45"/>
        <v>0x00000540</v>
      </c>
      <c r="B2343" s="15">
        <f>SUM_HEX(C2342:F2342,B2342,3)</f>
        <v>1344</v>
      </c>
      <c r="C2343" s="16" t="s">
        <v>148</v>
      </c>
      <c r="D2343" s="16" t="s">
        <v>148</v>
      </c>
      <c r="E2343" s="16"/>
      <c r="F2343" s="16"/>
      <c r="G2343" s="47"/>
      <c r="H2343" s="47"/>
      <c r="I2343" s="18"/>
      <c r="J2343" s="18"/>
      <c r="K2343" s="18"/>
      <c r="L2343" s="25"/>
    </row>
    <row r="2344" customHeight="1" spans="1:12">
      <c r="A2344" s="14" t="str">
        <f t="shared" si="45"/>
        <v>0x00000548</v>
      </c>
      <c r="B2344" s="15">
        <f>SUM_HEX(C2343:F2343,B2343,3)</f>
        <v>1352</v>
      </c>
      <c r="C2344" s="16" t="s">
        <v>148</v>
      </c>
      <c r="D2344" s="16" t="s">
        <v>148</v>
      </c>
      <c r="E2344" s="16"/>
      <c r="F2344" s="16"/>
      <c r="G2344" s="47"/>
      <c r="H2344" s="47"/>
      <c r="I2344" s="18"/>
      <c r="J2344" s="18"/>
      <c r="K2344" s="18"/>
      <c r="L2344" s="25"/>
    </row>
    <row r="2345" customHeight="1" spans="1:12">
      <c r="A2345" s="14" t="str">
        <f t="shared" si="45"/>
        <v>0x00000550</v>
      </c>
      <c r="B2345" s="15">
        <f>SUM_HEX(C2344:F2344,B2344,3)</f>
        <v>1360</v>
      </c>
      <c r="C2345" s="16" t="s">
        <v>274</v>
      </c>
      <c r="D2345" s="16"/>
      <c r="E2345" s="16"/>
      <c r="F2345" s="16"/>
      <c r="G2345" s="48"/>
      <c r="H2345" s="48"/>
      <c r="I2345" s="18"/>
      <c r="J2345" s="18"/>
      <c r="K2345" s="18"/>
      <c r="L2345" s="25"/>
    </row>
    <row r="2346" customHeight="1" spans="1:12">
      <c r="A2346" s="14" t="str">
        <f t="shared" si="45"/>
        <v>0x00000554</v>
      </c>
      <c r="B2346" s="15">
        <f>SUM_HEX(C2345:F2345,B2345,3)</f>
        <v>1364</v>
      </c>
      <c r="C2346" s="16" t="s">
        <v>23</v>
      </c>
      <c r="D2346" s="16" t="s">
        <v>23</v>
      </c>
      <c r="E2346" s="16" t="s">
        <v>23</v>
      </c>
      <c r="F2346" s="16"/>
      <c r="G2346" s="18" t="s">
        <v>24</v>
      </c>
      <c r="H2346" s="18" t="s">
        <v>537</v>
      </c>
      <c r="I2346" s="24" t="s">
        <v>517</v>
      </c>
      <c r="J2346" s="18"/>
      <c r="K2346" s="18" t="s">
        <v>405</v>
      </c>
      <c r="L2346" s="25" t="s">
        <v>280</v>
      </c>
    </row>
    <row r="2347" customHeight="1" spans="1:12">
      <c r="A2347" s="14" t="str">
        <f t="shared" si="45"/>
        <v>0x00000560</v>
      </c>
      <c r="B2347" s="15">
        <f>SUM_HEX(C2346:F2346,B2346,3)</f>
        <v>1376</v>
      </c>
      <c r="C2347" s="16" t="s">
        <v>23</v>
      </c>
      <c r="D2347" s="16"/>
      <c r="E2347" s="16"/>
      <c r="F2347" s="16"/>
      <c r="G2347" s="18" t="s">
        <v>212</v>
      </c>
      <c r="H2347" s="18"/>
      <c r="I2347" s="24" t="s">
        <v>518</v>
      </c>
      <c r="J2347" s="18"/>
      <c r="K2347" s="18"/>
      <c r="L2347" s="25"/>
    </row>
    <row r="2348" customHeight="1" spans="1:12">
      <c r="A2348" s="14" t="str">
        <f t="shared" si="45"/>
        <v>0x00000564</v>
      </c>
      <c r="B2348" s="15">
        <f>SUM_HEX(C2347:F2347,B2347,3)</f>
        <v>1380</v>
      </c>
      <c r="C2348" s="16" t="s">
        <v>29</v>
      </c>
      <c r="D2348" s="16"/>
      <c r="E2348" s="16"/>
      <c r="F2348" s="16"/>
      <c r="G2348" s="18" t="s">
        <v>15</v>
      </c>
      <c r="H2348" s="18"/>
      <c r="I2348" s="24" t="s">
        <v>519</v>
      </c>
      <c r="J2348" s="18"/>
      <c r="K2348" s="18" t="s">
        <v>520</v>
      </c>
      <c r="L2348" s="25"/>
    </row>
    <row r="2349" customHeight="1" spans="1:12">
      <c r="A2349" s="14" t="str">
        <f t="shared" si="45"/>
        <v>0x00000568</v>
      </c>
      <c r="B2349" s="15">
        <f>SUM_HEX(C2348:F2348,B2348,3)</f>
        <v>1384</v>
      </c>
      <c r="C2349" s="16" t="s">
        <v>23</v>
      </c>
      <c r="D2349" s="16"/>
      <c r="E2349" s="16"/>
      <c r="F2349" s="16"/>
      <c r="G2349" s="18" t="s">
        <v>15</v>
      </c>
      <c r="H2349" s="18"/>
      <c r="I2349" s="24" t="s">
        <v>521</v>
      </c>
      <c r="J2349" s="18"/>
      <c r="K2349" s="18" t="s">
        <v>520</v>
      </c>
      <c r="L2349" s="25"/>
    </row>
    <row r="2350" customHeight="1" spans="1:12">
      <c r="A2350" s="14" t="str">
        <f t="shared" si="45"/>
        <v>0x0000056C</v>
      </c>
      <c r="B2350" s="15">
        <f>SUM_HEX(C2349:F2349,B2349,3)</f>
        <v>1388</v>
      </c>
      <c r="C2350" s="16" t="s">
        <v>23</v>
      </c>
      <c r="D2350" s="16"/>
      <c r="E2350" s="16"/>
      <c r="F2350" s="16"/>
      <c r="G2350" s="46" t="s">
        <v>157</v>
      </c>
      <c r="H2350" s="46" t="s">
        <v>212</v>
      </c>
      <c r="I2350" s="18" t="s">
        <v>522</v>
      </c>
      <c r="J2350" s="18"/>
      <c r="K2350" s="18"/>
      <c r="L2350" s="25"/>
    </row>
    <row r="2351" customHeight="1" spans="1:12">
      <c r="A2351" s="14" t="str">
        <f t="shared" si="45"/>
        <v>0x00000570</v>
      </c>
      <c r="B2351" s="15">
        <f>SUM_HEX(C2350:F2350,B2350,3)</f>
        <v>1392</v>
      </c>
      <c r="C2351" s="16" t="s">
        <v>523</v>
      </c>
      <c r="D2351" s="16"/>
      <c r="E2351" s="16"/>
      <c r="F2351" s="16"/>
      <c r="G2351" s="47"/>
      <c r="H2351" s="47"/>
      <c r="I2351" s="18"/>
      <c r="J2351" s="18"/>
      <c r="K2351" s="18"/>
      <c r="L2351" s="25"/>
    </row>
    <row r="2352" customHeight="1" spans="1:12">
      <c r="A2352" s="14" t="str">
        <f t="shared" si="45"/>
        <v>0x00000574</v>
      </c>
      <c r="B2352" s="15">
        <f>SUM_HEX(C2351:F2351,B2351,3)</f>
        <v>1396</v>
      </c>
      <c r="C2352" s="16" t="s">
        <v>23</v>
      </c>
      <c r="D2352" s="16" t="s">
        <v>23</v>
      </c>
      <c r="E2352" s="16"/>
      <c r="F2352" s="16"/>
      <c r="G2352" s="47"/>
      <c r="H2352" s="47"/>
      <c r="I2352" s="18"/>
      <c r="J2352" s="18"/>
      <c r="K2352" s="18"/>
      <c r="L2352" s="25"/>
    </row>
    <row r="2353" customHeight="1" spans="1:12">
      <c r="A2353" s="14" t="str">
        <f t="shared" si="45"/>
        <v>0x0000057C</v>
      </c>
      <c r="B2353" s="15">
        <f>SUM_HEX(C2352:F2352,B2352,3)</f>
        <v>1404</v>
      </c>
      <c r="C2353" s="16" t="s">
        <v>274</v>
      </c>
      <c r="D2353" s="16"/>
      <c r="E2353" s="16"/>
      <c r="F2353" s="16"/>
      <c r="G2353" s="48"/>
      <c r="H2353" s="48"/>
      <c r="I2353" s="18"/>
      <c r="J2353" s="18"/>
      <c r="K2353" s="18"/>
      <c r="L2353" s="25"/>
    </row>
    <row r="2354" customHeight="1" spans="1:12">
      <c r="A2354" s="14" t="str">
        <f t="shared" si="45"/>
        <v>0x00000580</v>
      </c>
      <c r="B2354" s="15">
        <f>SUM_HEX(C2353:F2353,B2353,3)</f>
        <v>1408</v>
      </c>
      <c r="C2354" s="16" t="s">
        <v>23</v>
      </c>
      <c r="D2354" s="16"/>
      <c r="E2354" s="16"/>
      <c r="F2354" s="16"/>
      <c r="G2354" s="46" t="s">
        <v>157</v>
      </c>
      <c r="H2354" s="46" t="s">
        <v>212</v>
      </c>
      <c r="I2354" s="18" t="s">
        <v>524</v>
      </c>
      <c r="J2354" s="18"/>
      <c r="K2354" s="18"/>
      <c r="L2354" s="25"/>
    </row>
    <row r="2355" customHeight="1" spans="1:12">
      <c r="A2355" s="14" t="str">
        <f t="shared" si="45"/>
        <v>0x00000584</v>
      </c>
      <c r="B2355" s="15">
        <f>SUM_HEX(C2354:F2354,B2354,3)</f>
        <v>1412</v>
      </c>
      <c r="C2355" s="16" t="s">
        <v>525</v>
      </c>
      <c r="D2355" s="16"/>
      <c r="E2355" s="16"/>
      <c r="F2355" s="16"/>
      <c r="G2355" s="47"/>
      <c r="H2355" s="47"/>
      <c r="I2355" s="18"/>
      <c r="J2355" s="18"/>
      <c r="K2355" s="18"/>
      <c r="L2355" s="25"/>
    </row>
    <row r="2356" customHeight="1" spans="1:12">
      <c r="A2356" s="14" t="str">
        <f t="shared" si="45"/>
        <v>0x00000588</v>
      </c>
      <c r="B2356" s="15">
        <f>SUM_HEX(C2355:F2355,B2355,3)</f>
        <v>1416</v>
      </c>
      <c r="C2356" s="16" t="s">
        <v>148</v>
      </c>
      <c r="D2356" s="16" t="s">
        <v>23</v>
      </c>
      <c r="E2356" s="16"/>
      <c r="F2356" s="16"/>
      <c r="G2356" s="47"/>
      <c r="H2356" s="47"/>
      <c r="I2356" s="18"/>
      <c r="J2356" s="18"/>
      <c r="K2356" s="18"/>
      <c r="L2356" s="25"/>
    </row>
    <row r="2357" customHeight="1" spans="1:12">
      <c r="A2357" s="14" t="str">
        <f t="shared" si="45"/>
        <v>0x00000590</v>
      </c>
      <c r="B2357" s="15">
        <f>SUM_HEX(C2356:F2356,B2356,3)</f>
        <v>1424</v>
      </c>
      <c r="C2357" s="16" t="s">
        <v>274</v>
      </c>
      <c r="D2357" s="16"/>
      <c r="E2357" s="16"/>
      <c r="F2357" s="16"/>
      <c r="G2357" s="48"/>
      <c r="H2357" s="48"/>
      <c r="I2357" s="18"/>
      <c r="J2357" s="18"/>
      <c r="K2357" s="18"/>
      <c r="L2357" s="25"/>
    </row>
    <row r="2358" customHeight="1" spans="1:12">
      <c r="A2358" s="14" t="str">
        <f t="shared" si="45"/>
        <v>0x00000594</v>
      </c>
      <c r="B2358" s="15">
        <f>SUM_HEX(C2357:F2357,B2357,3)</f>
        <v>1428</v>
      </c>
      <c r="C2358" s="16" t="s">
        <v>274</v>
      </c>
      <c r="D2358" s="16"/>
      <c r="E2358" s="16"/>
      <c r="F2358" s="16"/>
      <c r="G2358" s="18" t="s">
        <v>15</v>
      </c>
      <c r="H2358" s="18"/>
      <c r="I2358" s="24" t="s">
        <v>526</v>
      </c>
      <c r="J2358" s="18"/>
      <c r="K2358" s="18" t="s">
        <v>405</v>
      </c>
      <c r="L2358" s="25" t="s">
        <v>280</v>
      </c>
    </row>
    <row r="2359" customHeight="1" spans="1:12">
      <c r="A2359" s="14" t="str">
        <f t="shared" si="45"/>
        <v>0x00000598</v>
      </c>
      <c r="B2359" s="15">
        <f>SUM_HEX(C2358:F2358,B2358,3)</f>
        <v>1432</v>
      </c>
      <c r="C2359" s="16" t="s">
        <v>23</v>
      </c>
      <c r="D2359" s="16"/>
      <c r="E2359" s="16"/>
      <c r="F2359" s="16"/>
      <c r="G2359" s="18" t="s">
        <v>212</v>
      </c>
      <c r="H2359" s="18"/>
      <c r="I2359" s="24" t="s">
        <v>527</v>
      </c>
      <c r="J2359" s="18"/>
      <c r="K2359" s="18"/>
      <c r="L2359" s="25" t="s">
        <v>272</v>
      </c>
    </row>
    <row r="2360" customHeight="1" spans="1:12">
      <c r="A2360" s="14" t="str">
        <f t="shared" si="45"/>
        <v>0x0000059C</v>
      </c>
      <c r="B2360" s="15">
        <f>SUM_HEX(C2359:F2359,B2359,3)</f>
        <v>1436</v>
      </c>
      <c r="C2360" s="16" t="s">
        <v>23</v>
      </c>
      <c r="D2360" s="16"/>
      <c r="E2360" s="16"/>
      <c r="F2360" s="16"/>
      <c r="G2360" s="46" t="s">
        <v>157</v>
      </c>
      <c r="H2360" s="46" t="s">
        <v>212</v>
      </c>
      <c r="I2360" s="18" t="s">
        <v>528</v>
      </c>
      <c r="J2360" s="18"/>
      <c r="K2360" s="18"/>
      <c r="L2360" s="25"/>
    </row>
    <row r="2361" customHeight="1" spans="1:12">
      <c r="A2361" s="14" t="str">
        <f t="shared" si="45"/>
        <v>0x000005A0</v>
      </c>
      <c r="B2361" s="15">
        <f>SUM_HEX(C2360:F2360,B2360,3)</f>
        <v>1440</v>
      </c>
      <c r="C2361" s="16" t="s">
        <v>529</v>
      </c>
      <c r="D2361" s="16"/>
      <c r="E2361" s="16"/>
      <c r="F2361" s="16"/>
      <c r="G2361" s="47"/>
      <c r="H2361" s="47"/>
      <c r="I2361" s="18"/>
      <c r="J2361" s="18"/>
      <c r="K2361" s="18"/>
      <c r="L2361" s="25"/>
    </row>
    <row r="2362" customHeight="1" spans="1:12">
      <c r="A2362" s="14" t="str">
        <f t="shared" si="45"/>
        <v>0x000005A4</v>
      </c>
      <c r="B2362" s="15">
        <f>SUM_HEX(C2361:F2361,B2361,3)</f>
        <v>1444</v>
      </c>
      <c r="C2362" s="16" t="s">
        <v>23</v>
      </c>
      <c r="D2362" s="16" t="s">
        <v>23</v>
      </c>
      <c r="E2362" s="16"/>
      <c r="F2362" s="16"/>
      <c r="G2362" s="47"/>
      <c r="H2362" s="47"/>
      <c r="I2362" s="18"/>
      <c r="J2362" s="18"/>
      <c r="K2362" s="18"/>
      <c r="L2362" s="25"/>
    </row>
    <row r="2363" customHeight="1" spans="1:12">
      <c r="A2363" s="14" t="str">
        <f t="shared" si="45"/>
        <v>0x000005AC</v>
      </c>
      <c r="B2363" s="15">
        <f>SUM_HEX(C2362:F2362,B2362,3)</f>
        <v>1452</v>
      </c>
      <c r="C2363" s="16" t="s">
        <v>274</v>
      </c>
      <c r="D2363" s="16"/>
      <c r="E2363" s="16"/>
      <c r="F2363" s="16"/>
      <c r="G2363" s="48"/>
      <c r="H2363" s="48"/>
      <c r="I2363" s="18"/>
      <c r="J2363" s="18"/>
      <c r="K2363" s="18"/>
      <c r="L2363" s="25"/>
    </row>
    <row r="2364" customHeight="1" spans="1:12">
      <c r="A2364" s="14" t="str">
        <f t="shared" si="45"/>
        <v>0x000005B0</v>
      </c>
      <c r="B2364" s="15">
        <f>SUM_HEX(C2363:F2363,B2363,3)</f>
        <v>1456</v>
      </c>
      <c r="C2364" s="16" t="s">
        <v>274</v>
      </c>
      <c r="D2364" s="16"/>
      <c r="E2364" s="16"/>
      <c r="F2364" s="16"/>
      <c r="G2364" s="18" t="s">
        <v>15</v>
      </c>
      <c r="H2364" s="18"/>
      <c r="I2364" s="24" t="s">
        <v>530</v>
      </c>
      <c r="J2364" s="18"/>
      <c r="K2364" s="18" t="s">
        <v>405</v>
      </c>
      <c r="L2364" s="25" t="s">
        <v>280</v>
      </c>
    </row>
    <row r="2365" customHeight="1" spans="1:12">
      <c r="A2365" s="14" t="str">
        <f t="shared" si="45"/>
        <v>0x000005B4</v>
      </c>
      <c r="B2365" s="15">
        <f>SUM_HEX(C2364:F2364,B2364,3)</f>
        <v>1460</v>
      </c>
      <c r="C2365" s="16" t="s">
        <v>23</v>
      </c>
      <c r="D2365" s="16"/>
      <c r="E2365" s="16"/>
      <c r="F2365" s="16"/>
      <c r="G2365" s="18" t="s">
        <v>212</v>
      </c>
      <c r="H2365" s="18"/>
      <c r="I2365" s="24" t="s">
        <v>531</v>
      </c>
      <c r="J2365" s="18"/>
      <c r="K2365" s="18"/>
      <c r="L2365" s="25" t="s">
        <v>272</v>
      </c>
    </row>
    <row r="2366" customHeight="1" spans="1:12">
      <c r="A2366" s="14" t="str">
        <f t="shared" si="45"/>
        <v>0x000005B8</v>
      </c>
      <c r="B2366" s="15">
        <f>SUM_HEX(C2365:F2365,B2365,3)</f>
        <v>1464</v>
      </c>
      <c r="C2366" s="16" t="s">
        <v>23</v>
      </c>
      <c r="D2366" s="16" t="s">
        <v>23</v>
      </c>
      <c r="E2366" s="16" t="s">
        <v>23</v>
      </c>
      <c r="F2366" s="16"/>
      <c r="G2366" s="18" t="s">
        <v>24</v>
      </c>
      <c r="H2366" s="18" t="s">
        <v>538</v>
      </c>
      <c r="I2366" s="24" t="s">
        <v>533</v>
      </c>
      <c r="J2366" s="18"/>
      <c r="K2366" s="18"/>
      <c r="L2366" s="25"/>
    </row>
    <row r="2367" customHeight="1" spans="1:12">
      <c r="A2367" s="14" t="str">
        <f t="shared" si="45"/>
        <v>0x000005C4</v>
      </c>
      <c r="B2367" s="15">
        <f>SUM_HEX(C2366:F2366,B2366,3)</f>
        <v>1476</v>
      </c>
      <c r="C2367" s="16" t="s">
        <v>23</v>
      </c>
      <c r="D2367" s="16" t="s">
        <v>23</v>
      </c>
      <c r="E2367" s="16" t="s">
        <v>23</v>
      </c>
      <c r="F2367" s="16"/>
      <c r="G2367" s="18"/>
      <c r="H2367" s="18"/>
      <c r="I2367" s="24"/>
      <c r="J2367" s="18"/>
      <c r="K2367" s="18"/>
      <c r="L2367" s="25"/>
    </row>
    <row r="2368" customHeight="1" spans="1:12">
      <c r="A2368" s="14" t="str">
        <f t="shared" si="45"/>
        <v>0x000005D0</v>
      </c>
      <c r="B2368" s="15">
        <f>SUM_HEX(C2367:F2367,B2367,3)</f>
        <v>1488</v>
      </c>
      <c r="C2368" s="16" t="s">
        <v>23</v>
      </c>
      <c r="D2368" s="16"/>
      <c r="E2368" s="16"/>
      <c r="F2368" s="16"/>
      <c r="G2368" s="18"/>
      <c r="H2368" s="18"/>
      <c r="I2368" s="24"/>
      <c r="J2368" s="18"/>
      <c r="K2368" s="18"/>
      <c r="L2368" s="25"/>
    </row>
    <row r="2369" customHeight="1" spans="1:12">
      <c r="A2369" s="14" t="str">
        <f t="shared" si="45"/>
        <v>0x000005D4</v>
      </c>
      <c r="B2369" s="15">
        <f>SUM_HEX(C2368:F2368,B2368,3)</f>
        <v>1492</v>
      </c>
      <c r="C2369" s="16" t="s">
        <v>274</v>
      </c>
      <c r="D2369" s="16"/>
      <c r="E2369" s="16"/>
      <c r="F2369" s="16"/>
      <c r="G2369" s="18"/>
      <c r="H2369" s="18"/>
      <c r="I2369" s="24"/>
      <c r="J2369" s="18"/>
      <c r="K2369" s="18"/>
      <c r="L2369" s="25"/>
    </row>
  </sheetData>
  <mergeCells count="2950">
    <mergeCell ref="A3:B3"/>
    <mergeCell ref="C3:F3"/>
    <mergeCell ref="G3:H3"/>
    <mergeCell ref="N3:AI3"/>
    <mergeCell ref="G4:H4"/>
    <mergeCell ref="N4:AI4"/>
    <mergeCell ref="G5:H5"/>
    <mergeCell ref="N5:AI5"/>
    <mergeCell ref="N6:AI6"/>
    <mergeCell ref="N7:AI7"/>
    <mergeCell ref="N8:AI8"/>
    <mergeCell ref="N9:AI9"/>
    <mergeCell ref="N10:AI10"/>
    <mergeCell ref="N11:AI11"/>
    <mergeCell ref="N12:AI12"/>
    <mergeCell ref="N13:AI13"/>
    <mergeCell ref="N14:AI14"/>
    <mergeCell ref="N15:AI15"/>
    <mergeCell ref="N16:AI16"/>
    <mergeCell ref="N17:AI17"/>
    <mergeCell ref="N18:AI18"/>
    <mergeCell ref="N19:AI19"/>
    <mergeCell ref="N20:AI20"/>
    <mergeCell ref="N21:AI21"/>
    <mergeCell ref="N22:AI22"/>
    <mergeCell ref="N23:AI23"/>
    <mergeCell ref="N24:AI24"/>
    <mergeCell ref="N25:AI25"/>
    <mergeCell ref="N26:AI26"/>
    <mergeCell ref="N27:AI27"/>
    <mergeCell ref="N28:AI28"/>
    <mergeCell ref="N29:AI29"/>
    <mergeCell ref="N30:AI30"/>
    <mergeCell ref="N31:AI31"/>
    <mergeCell ref="N32:AI32"/>
    <mergeCell ref="N33:AI33"/>
    <mergeCell ref="N34:AI34"/>
    <mergeCell ref="N35:AI35"/>
    <mergeCell ref="N36:AI36"/>
    <mergeCell ref="N37:AI37"/>
    <mergeCell ref="N38:AI38"/>
    <mergeCell ref="N39:AI39"/>
    <mergeCell ref="N40:AI40"/>
    <mergeCell ref="N41:AI41"/>
    <mergeCell ref="G42:H42"/>
    <mergeCell ref="N42:AI42"/>
    <mergeCell ref="G43:H43"/>
    <mergeCell ref="N43:AI43"/>
    <mergeCell ref="G44:H44"/>
    <mergeCell ref="N44:AI44"/>
    <mergeCell ref="G45:H45"/>
    <mergeCell ref="N45:AI45"/>
    <mergeCell ref="G46:H46"/>
    <mergeCell ref="N46:AI46"/>
    <mergeCell ref="G47:H47"/>
    <mergeCell ref="N47:AI47"/>
    <mergeCell ref="G48:H48"/>
    <mergeCell ref="N48:AI48"/>
    <mergeCell ref="G49:H49"/>
    <mergeCell ref="N49:AI49"/>
    <mergeCell ref="G50:H50"/>
    <mergeCell ref="N50:AI50"/>
    <mergeCell ref="G51:H51"/>
    <mergeCell ref="N51:AI51"/>
    <mergeCell ref="G52:H52"/>
    <mergeCell ref="N52:AI52"/>
    <mergeCell ref="N53:AI53"/>
    <mergeCell ref="N54:AI54"/>
    <mergeCell ref="N55:AI55"/>
    <mergeCell ref="N56:AI56"/>
    <mergeCell ref="N57:AI57"/>
    <mergeCell ref="N58:AI58"/>
    <mergeCell ref="N59:AI59"/>
    <mergeCell ref="N60:AI60"/>
    <mergeCell ref="N61:AI61"/>
    <mergeCell ref="N62:AI62"/>
    <mergeCell ref="N63:AI63"/>
    <mergeCell ref="N64:AI64"/>
    <mergeCell ref="N65:AI65"/>
    <mergeCell ref="N66:AI66"/>
    <mergeCell ref="N67:AI67"/>
    <mergeCell ref="N68:AI68"/>
    <mergeCell ref="N69:AI69"/>
    <mergeCell ref="N70:AI70"/>
    <mergeCell ref="N71:AI71"/>
    <mergeCell ref="N72:AI72"/>
    <mergeCell ref="N73:AI73"/>
    <mergeCell ref="N74:AI74"/>
    <mergeCell ref="G75:H75"/>
    <mergeCell ref="N75:AI75"/>
    <mergeCell ref="G76:H76"/>
    <mergeCell ref="N76:AI76"/>
    <mergeCell ref="G77:H77"/>
    <mergeCell ref="N77:AI77"/>
    <mergeCell ref="G78:H78"/>
    <mergeCell ref="N78:AI78"/>
    <mergeCell ref="G79:H79"/>
    <mergeCell ref="N79:AI79"/>
    <mergeCell ref="G80:H80"/>
    <mergeCell ref="N80:AI80"/>
    <mergeCell ref="G81:H81"/>
    <mergeCell ref="N81:AI81"/>
    <mergeCell ref="G82:H82"/>
    <mergeCell ref="N82:AI82"/>
    <mergeCell ref="G83:H83"/>
    <mergeCell ref="N83:AI83"/>
    <mergeCell ref="G84:H84"/>
    <mergeCell ref="N84:AI84"/>
    <mergeCell ref="G85:H85"/>
    <mergeCell ref="N85:AI85"/>
    <mergeCell ref="G86:H86"/>
    <mergeCell ref="N86:AI86"/>
    <mergeCell ref="N87:AI87"/>
    <mergeCell ref="N88:AI88"/>
    <mergeCell ref="N89:AI89"/>
    <mergeCell ref="N90:AI90"/>
    <mergeCell ref="G91:H91"/>
    <mergeCell ref="G111:H111"/>
    <mergeCell ref="G112:H112"/>
    <mergeCell ref="G118:H118"/>
    <mergeCell ref="G124:H124"/>
    <mergeCell ref="G137:H137"/>
    <mergeCell ref="G142:H142"/>
    <mergeCell ref="G143:H143"/>
    <mergeCell ref="G144:H144"/>
    <mergeCell ref="G145:H145"/>
    <mergeCell ref="G146:H146"/>
    <mergeCell ref="G147:H147"/>
    <mergeCell ref="G148:H148"/>
    <mergeCell ref="G149:H149"/>
    <mergeCell ref="G150:H150"/>
    <mergeCell ref="G151:H151"/>
    <mergeCell ref="G152:H152"/>
    <mergeCell ref="G153:H153"/>
    <mergeCell ref="G154:H154"/>
    <mergeCell ref="G155:H155"/>
    <mergeCell ref="G156:H156"/>
    <mergeCell ref="G157:H157"/>
    <mergeCell ref="G158:H158"/>
    <mergeCell ref="G159:H159"/>
    <mergeCell ref="G160:H160"/>
    <mergeCell ref="G161:H161"/>
    <mergeCell ref="G162:H162"/>
    <mergeCell ref="G163:H163"/>
    <mergeCell ref="G172:H172"/>
    <mergeCell ref="G181:H181"/>
    <mergeCell ref="G190:H190"/>
    <mergeCell ref="G199:H199"/>
    <mergeCell ref="G208:H208"/>
    <mergeCell ref="G217:H217"/>
    <mergeCell ref="G226:H226"/>
    <mergeCell ref="G235:H235"/>
    <mergeCell ref="G292:H292"/>
    <mergeCell ref="G293:H293"/>
    <mergeCell ref="G294:H294"/>
    <mergeCell ref="G315:H315"/>
    <mergeCell ref="G316:H316"/>
    <mergeCell ref="G317:H317"/>
    <mergeCell ref="G326:H326"/>
    <mergeCell ref="G327:H327"/>
    <mergeCell ref="G332:H332"/>
    <mergeCell ref="G333:H333"/>
    <mergeCell ref="G336:H336"/>
    <mergeCell ref="G337:H337"/>
    <mergeCell ref="A340:B340"/>
    <mergeCell ref="C340:F340"/>
    <mergeCell ref="G340:H340"/>
    <mergeCell ref="G341:H341"/>
    <mergeCell ref="G342:H342"/>
    <mergeCell ref="G383:H383"/>
    <mergeCell ref="G384:H384"/>
    <mergeCell ref="G385:H385"/>
    <mergeCell ref="G386:H386"/>
    <mergeCell ref="G387:H387"/>
    <mergeCell ref="G388:H388"/>
    <mergeCell ref="G389:H389"/>
    <mergeCell ref="G390:H390"/>
    <mergeCell ref="G391:H391"/>
    <mergeCell ref="G392:H392"/>
    <mergeCell ref="G393:H393"/>
    <mergeCell ref="G394:H394"/>
    <mergeCell ref="G417:H417"/>
    <mergeCell ref="G418:H418"/>
    <mergeCell ref="G419:H419"/>
    <mergeCell ref="G420:H420"/>
    <mergeCell ref="G421:H421"/>
    <mergeCell ref="G422:H422"/>
    <mergeCell ref="G423:H423"/>
    <mergeCell ref="G424:H424"/>
    <mergeCell ref="G425:H425"/>
    <mergeCell ref="G426:H426"/>
    <mergeCell ref="G427:H427"/>
    <mergeCell ref="G428:H428"/>
    <mergeCell ref="G429:H429"/>
    <mergeCell ref="G430:H430"/>
    <mergeCell ref="G435:H435"/>
    <mergeCell ref="G455:H455"/>
    <mergeCell ref="G456:H456"/>
    <mergeCell ref="G462:H462"/>
    <mergeCell ref="G468:H468"/>
    <mergeCell ref="G481:H481"/>
    <mergeCell ref="G486:H486"/>
    <mergeCell ref="G487:H487"/>
    <mergeCell ref="G488:H488"/>
    <mergeCell ref="G489:H489"/>
    <mergeCell ref="G490:H490"/>
    <mergeCell ref="G491:H491"/>
    <mergeCell ref="G492:H492"/>
    <mergeCell ref="G493:H493"/>
    <mergeCell ref="G494:H494"/>
    <mergeCell ref="G495:H495"/>
    <mergeCell ref="G496:H496"/>
    <mergeCell ref="G497:H497"/>
    <mergeCell ref="G498:H498"/>
    <mergeCell ref="G499:H499"/>
    <mergeCell ref="G500:H500"/>
    <mergeCell ref="G501:H501"/>
    <mergeCell ref="G502:H502"/>
    <mergeCell ref="G503:H503"/>
    <mergeCell ref="G504:H504"/>
    <mergeCell ref="G505:H505"/>
    <mergeCell ref="G506:H506"/>
    <mergeCell ref="G507:H507"/>
    <mergeCell ref="G516:H516"/>
    <mergeCell ref="G525:H525"/>
    <mergeCell ref="G534:H534"/>
    <mergeCell ref="G543:H543"/>
    <mergeCell ref="G552:H552"/>
    <mergeCell ref="G561:H561"/>
    <mergeCell ref="G570:H570"/>
    <mergeCell ref="G579:H579"/>
    <mergeCell ref="G628:H628"/>
    <mergeCell ref="G637:H637"/>
    <mergeCell ref="G638:H638"/>
    <mergeCell ref="G639:H639"/>
    <mergeCell ref="G640:H640"/>
    <mergeCell ref="G661:H661"/>
    <mergeCell ref="G662:H662"/>
    <mergeCell ref="G663:H663"/>
    <mergeCell ref="G672:H672"/>
    <mergeCell ref="G673:H673"/>
    <mergeCell ref="G678:H678"/>
    <mergeCell ref="G679:H679"/>
    <mergeCell ref="G681:H681"/>
    <mergeCell ref="G682:H682"/>
    <mergeCell ref="G683:H683"/>
    <mergeCell ref="A686:B686"/>
    <mergeCell ref="C686:F686"/>
    <mergeCell ref="G686:H686"/>
    <mergeCell ref="G687:H687"/>
    <mergeCell ref="G688:H688"/>
    <mergeCell ref="G725:H725"/>
    <mergeCell ref="G726:H726"/>
    <mergeCell ref="G727:H727"/>
    <mergeCell ref="G728:H728"/>
    <mergeCell ref="G729:H729"/>
    <mergeCell ref="G730:H730"/>
    <mergeCell ref="G731:H731"/>
    <mergeCell ref="G732:H732"/>
    <mergeCell ref="G733:H733"/>
    <mergeCell ref="G734:H734"/>
    <mergeCell ref="G735:H735"/>
    <mergeCell ref="G758:H758"/>
    <mergeCell ref="G759:H759"/>
    <mergeCell ref="G760:H760"/>
    <mergeCell ref="G761:H761"/>
    <mergeCell ref="G762:H762"/>
    <mergeCell ref="G763:H763"/>
    <mergeCell ref="G764:H764"/>
    <mergeCell ref="G765:H765"/>
    <mergeCell ref="G766:H766"/>
    <mergeCell ref="G767:H767"/>
    <mergeCell ref="G768:H768"/>
    <mergeCell ref="G769:H769"/>
    <mergeCell ref="G774:H774"/>
    <mergeCell ref="G794:H794"/>
    <mergeCell ref="G795:H795"/>
    <mergeCell ref="G801:H801"/>
    <mergeCell ref="G807:H807"/>
    <mergeCell ref="G820:H820"/>
    <mergeCell ref="G825:H825"/>
    <mergeCell ref="G826:H826"/>
    <mergeCell ref="G827:H827"/>
    <mergeCell ref="G828:H828"/>
    <mergeCell ref="G829:H829"/>
    <mergeCell ref="G830:H830"/>
    <mergeCell ref="G831:H831"/>
    <mergeCell ref="G832:H832"/>
    <mergeCell ref="G833:H833"/>
    <mergeCell ref="G834:H834"/>
    <mergeCell ref="G835:H835"/>
    <mergeCell ref="G836:H836"/>
    <mergeCell ref="G837:H837"/>
    <mergeCell ref="G838:H838"/>
    <mergeCell ref="G839:H839"/>
    <mergeCell ref="G840:H840"/>
    <mergeCell ref="G841:H841"/>
    <mergeCell ref="G842:H842"/>
    <mergeCell ref="G843:H843"/>
    <mergeCell ref="G844:H844"/>
    <mergeCell ref="G845:H845"/>
    <mergeCell ref="G846:H846"/>
    <mergeCell ref="G855:H855"/>
    <mergeCell ref="G864:H864"/>
    <mergeCell ref="G873:H873"/>
    <mergeCell ref="G882:H882"/>
    <mergeCell ref="G891:H891"/>
    <mergeCell ref="G900:H900"/>
    <mergeCell ref="G909:H909"/>
    <mergeCell ref="G918:H918"/>
    <mergeCell ref="G975:H975"/>
    <mergeCell ref="G976:H976"/>
    <mergeCell ref="G977:H977"/>
    <mergeCell ref="G998:H998"/>
    <mergeCell ref="G999:H999"/>
    <mergeCell ref="G1000:H1000"/>
    <mergeCell ref="G1009:H1009"/>
    <mergeCell ref="G1010:H1010"/>
    <mergeCell ref="G1015:H1015"/>
    <mergeCell ref="G1016:H1016"/>
    <mergeCell ref="G1018:H1018"/>
    <mergeCell ref="G1019:H1019"/>
    <mergeCell ref="G1020:H1020"/>
    <mergeCell ref="A1023:B1023"/>
    <mergeCell ref="C1023:F1023"/>
    <mergeCell ref="G1023:H1023"/>
    <mergeCell ref="G1024:H1024"/>
    <mergeCell ref="G1025:H1025"/>
    <mergeCell ref="G1062:H1062"/>
    <mergeCell ref="G1063:H1063"/>
    <mergeCell ref="G1064:H1064"/>
    <mergeCell ref="G1065:H1065"/>
    <mergeCell ref="G1066:H1066"/>
    <mergeCell ref="G1067:H1067"/>
    <mergeCell ref="G1068:H1068"/>
    <mergeCell ref="G1069:H1069"/>
    <mergeCell ref="G1070:H1070"/>
    <mergeCell ref="G1071:H1071"/>
    <mergeCell ref="G1072:H1072"/>
    <mergeCell ref="G1095:H1095"/>
    <mergeCell ref="G1096:H1096"/>
    <mergeCell ref="G1097:H1097"/>
    <mergeCell ref="G1098:H1098"/>
    <mergeCell ref="G1099:H1099"/>
    <mergeCell ref="G1100:H1100"/>
    <mergeCell ref="G1101:H1101"/>
    <mergeCell ref="G1102:H1102"/>
    <mergeCell ref="G1103:H1103"/>
    <mergeCell ref="G1104:H1104"/>
    <mergeCell ref="G1105:H1105"/>
    <mergeCell ref="G1106:H1106"/>
    <mergeCell ref="G1111:H1111"/>
    <mergeCell ref="G1131:H1131"/>
    <mergeCell ref="G1132:H1132"/>
    <mergeCell ref="G1138:H1138"/>
    <mergeCell ref="G1144:H1144"/>
    <mergeCell ref="G1157:H1157"/>
    <mergeCell ref="G1162:H1162"/>
    <mergeCell ref="G1163:H1163"/>
    <mergeCell ref="G1164:H1164"/>
    <mergeCell ref="G1165:H1165"/>
    <mergeCell ref="G1166:H1166"/>
    <mergeCell ref="G1167:H1167"/>
    <mergeCell ref="G1168:H1168"/>
    <mergeCell ref="G1169:H1169"/>
    <mergeCell ref="G1170:H1170"/>
    <mergeCell ref="G1171:H1171"/>
    <mergeCell ref="G1172:H1172"/>
    <mergeCell ref="G1173:H1173"/>
    <mergeCell ref="G1174:H1174"/>
    <mergeCell ref="G1175:H1175"/>
    <mergeCell ref="G1176:H1176"/>
    <mergeCell ref="G1177:H1177"/>
    <mergeCell ref="G1178:H1178"/>
    <mergeCell ref="G1179:H1179"/>
    <mergeCell ref="G1180:H1180"/>
    <mergeCell ref="G1181:H1181"/>
    <mergeCell ref="G1182:H1182"/>
    <mergeCell ref="G1183:H1183"/>
    <mergeCell ref="G1192:H1192"/>
    <mergeCell ref="G1201:H1201"/>
    <mergeCell ref="G1210:H1210"/>
    <mergeCell ref="G1219:H1219"/>
    <mergeCell ref="G1228:H1228"/>
    <mergeCell ref="G1237:H1237"/>
    <mergeCell ref="G1246:H1246"/>
    <mergeCell ref="G1255:H1255"/>
    <mergeCell ref="G1312:H1312"/>
    <mergeCell ref="G1313:H1313"/>
    <mergeCell ref="G1314:H1314"/>
    <mergeCell ref="G1335:H1335"/>
    <mergeCell ref="G1336:H1336"/>
    <mergeCell ref="G1337:H1337"/>
    <mergeCell ref="G1346:H1346"/>
    <mergeCell ref="G1347:H1347"/>
    <mergeCell ref="G1352:H1352"/>
    <mergeCell ref="G1353:H1353"/>
    <mergeCell ref="G1355:H1355"/>
    <mergeCell ref="G1356:H1356"/>
    <mergeCell ref="G1357:H1357"/>
    <mergeCell ref="A1360:B1360"/>
    <mergeCell ref="C1360:F1360"/>
    <mergeCell ref="G1360:H1360"/>
    <mergeCell ref="G1361:H1361"/>
    <mergeCell ref="G1362:H1362"/>
    <mergeCell ref="G1399:H1399"/>
    <mergeCell ref="G1400:H1400"/>
    <mergeCell ref="G1401:H1401"/>
    <mergeCell ref="G1402:H1402"/>
    <mergeCell ref="G1403:H1403"/>
    <mergeCell ref="G1404:H1404"/>
    <mergeCell ref="G1405:H1405"/>
    <mergeCell ref="G1406:H1406"/>
    <mergeCell ref="G1407:H1407"/>
    <mergeCell ref="G1408:H1408"/>
    <mergeCell ref="G1409:H1409"/>
    <mergeCell ref="G1432:H1432"/>
    <mergeCell ref="G1433:H1433"/>
    <mergeCell ref="G1434:H1434"/>
    <mergeCell ref="G1435:H1435"/>
    <mergeCell ref="G1436:H1436"/>
    <mergeCell ref="G1437:H1437"/>
    <mergeCell ref="G1438:H1438"/>
    <mergeCell ref="G1439:H1439"/>
    <mergeCell ref="G1440:H1440"/>
    <mergeCell ref="G1441:H1441"/>
    <mergeCell ref="G1442:H1442"/>
    <mergeCell ref="G1443:H1443"/>
    <mergeCell ref="G1448:H1448"/>
    <mergeCell ref="G1468:H1468"/>
    <mergeCell ref="G1469:H1469"/>
    <mergeCell ref="G1475:H1475"/>
    <mergeCell ref="G1481:H1481"/>
    <mergeCell ref="G1494:H1494"/>
    <mergeCell ref="G1499:H1499"/>
    <mergeCell ref="G1500:H1500"/>
    <mergeCell ref="G1501:H1501"/>
    <mergeCell ref="G1502:H1502"/>
    <mergeCell ref="G1503:H1503"/>
    <mergeCell ref="G1504:H1504"/>
    <mergeCell ref="G1505:H1505"/>
    <mergeCell ref="G1506:H1506"/>
    <mergeCell ref="G1507:H1507"/>
    <mergeCell ref="G1508:H1508"/>
    <mergeCell ref="G1509:H1509"/>
    <mergeCell ref="G1510:H1510"/>
    <mergeCell ref="G1511:H1511"/>
    <mergeCell ref="G1512:H1512"/>
    <mergeCell ref="G1513:H1513"/>
    <mergeCell ref="G1514:H1514"/>
    <mergeCell ref="G1515:H1515"/>
    <mergeCell ref="G1516:H1516"/>
    <mergeCell ref="G1517:H1517"/>
    <mergeCell ref="G1518:H1518"/>
    <mergeCell ref="G1519:H1519"/>
    <mergeCell ref="G1520:H1520"/>
    <mergeCell ref="G1529:H1529"/>
    <mergeCell ref="G1538:H1538"/>
    <mergeCell ref="G1547:H1547"/>
    <mergeCell ref="G1556:H1556"/>
    <mergeCell ref="G1565:H1565"/>
    <mergeCell ref="G1574:H1574"/>
    <mergeCell ref="G1583:H1583"/>
    <mergeCell ref="G1592:H1592"/>
    <mergeCell ref="G1649:H1649"/>
    <mergeCell ref="G1650:H1650"/>
    <mergeCell ref="G1651:H1651"/>
    <mergeCell ref="G1672:H1672"/>
    <mergeCell ref="G1673:H1673"/>
    <mergeCell ref="G1674:H1674"/>
    <mergeCell ref="G1683:H1683"/>
    <mergeCell ref="G1684:H1684"/>
    <mergeCell ref="G1689:H1689"/>
    <mergeCell ref="G1690:H1690"/>
    <mergeCell ref="G1692:H1692"/>
    <mergeCell ref="G1693:H1693"/>
    <mergeCell ref="G1694:H1694"/>
    <mergeCell ref="A1697:B1697"/>
    <mergeCell ref="C1697:F1697"/>
    <mergeCell ref="G1697:H1697"/>
    <mergeCell ref="G1698:H1698"/>
    <mergeCell ref="G1699:H1699"/>
    <mergeCell ref="G1736:H1736"/>
    <mergeCell ref="G1737:H1737"/>
    <mergeCell ref="G1738:H1738"/>
    <mergeCell ref="G1739:H1739"/>
    <mergeCell ref="G1740:H1740"/>
    <mergeCell ref="G1741:H1741"/>
    <mergeCell ref="G1742:H1742"/>
    <mergeCell ref="G1743:H1743"/>
    <mergeCell ref="G1744:H1744"/>
    <mergeCell ref="G1745:H1745"/>
    <mergeCell ref="G1746:H1746"/>
    <mergeCell ref="G1769:H1769"/>
    <mergeCell ref="G1770:H1770"/>
    <mergeCell ref="G1771:H1771"/>
    <mergeCell ref="G1772:H1772"/>
    <mergeCell ref="G1773:H1773"/>
    <mergeCell ref="G1774:H1774"/>
    <mergeCell ref="G1775:H1775"/>
    <mergeCell ref="G1776:H1776"/>
    <mergeCell ref="G1777:H1777"/>
    <mergeCell ref="G1778:H1778"/>
    <mergeCell ref="G1779:H1779"/>
    <mergeCell ref="G1780:H1780"/>
    <mergeCell ref="G1785:H1785"/>
    <mergeCell ref="G1805:H1805"/>
    <mergeCell ref="G1806:H1806"/>
    <mergeCell ref="G1812:H1812"/>
    <mergeCell ref="G1818:H1818"/>
    <mergeCell ref="G1831:H1831"/>
    <mergeCell ref="G1836:H1836"/>
    <mergeCell ref="G1837:H1837"/>
    <mergeCell ref="G1838:H1838"/>
    <mergeCell ref="G1839:H1839"/>
    <mergeCell ref="G1840:H1840"/>
    <mergeCell ref="G1841:H1841"/>
    <mergeCell ref="G1842:H1842"/>
    <mergeCell ref="G1843:H1843"/>
    <mergeCell ref="G1844:H1844"/>
    <mergeCell ref="G1845:H1845"/>
    <mergeCell ref="G1846:H1846"/>
    <mergeCell ref="G1847:H1847"/>
    <mergeCell ref="G1848:H1848"/>
    <mergeCell ref="G1849:H1849"/>
    <mergeCell ref="G1850:H1850"/>
    <mergeCell ref="G1851:H1851"/>
    <mergeCell ref="G1852:H1852"/>
    <mergeCell ref="G1853:H1853"/>
    <mergeCell ref="G1854:H1854"/>
    <mergeCell ref="G1855:H1855"/>
    <mergeCell ref="G1856:H1856"/>
    <mergeCell ref="G1857:H1857"/>
    <mergeCell ref="G1866:H1866"/>
    <mergeCell ref="G1875:H1875"/>
    <mergeCell ref="G1884:H1884"/>
    <mergeCell ref="G1893:H1893"/>
    <mergeCell ref="G1902:H1902"/>
    <mergeCell ref="G1911:H1911"/>
    <mergeCell ref="G1920:H1920"/>
    <mergeCell ref="G1929:H1929"/>
    <mergeCell ref="G1986:H1986"/>
    <mergeCell ref="G1987:H1987"/>
    <mergeCell ref="G1988:H1988"/>
    <mergeCell ref="G2009:H2009"/>
    <mergeCell ref="G2010:H2010"/>
    <mergeCell ref="G2011:H2011"/>
    <mergeCell ref="G2020:H2020"/>
    <mergeCell ref="G2021:H2021"/>
    <mergeCell ref="G2026:H2026"/>
    <mergeCell ref="G2027:H2027"/>
    <mergeCell ref="G2029:H2029"/>
    <mergeCell ref="G2030:H2030"/>
    <mergeCell ref="G2031:H2031"/>
    <mergeCell ref="A2034:B2034"/>
    <mergeCell ref="C2034:F2034"/>
    <mergeCell ref="G2034:H2034"/>
    <mergeCell ref="G2035:H2035"/>
    <mergeCell ref="G2036:H2036"/>
    <mergeCell ref="G2073:H2073"/>
    <mergeCell ref="G2074:H2074"/>
    <mergeCell ref="G2075:H2075"/>
    <mergeCell ref="G2076:H2076"/>
    <mergeCell ref="G2077:H2077"/>
    <mergeCell ref="G2078:H2078"/>
    <mergeCell ref="G2079:H2079"/>
    <mergeCell ref="G2080:H2080"/>
    <mergeCell ref="G2081:H2081"/>
    <mergeCell ref="G2082:H2082"/>
    <mergeCell ref="G2083:H2083"/>
    <mergeCell ref="G2106:H2106"/>
    <mergeCell ref="G2107:H2107"/>
    <mergeCell ref="G2108:H2108"/>
    <mergeCell ref="G2109:H2109"/>
    <mergeCell ref="G2110:H2110"/>
    <mergeCell ref="G2111:H2111"/>
    <mergeCell ref="G2112:H2112"/>
    <mergeCell ref="G2113:H2113"/>
    <mergeCell ref="G2114:H2114"/>
    <mergeCell ref="G2115:H2115"/>
    <mergeCell ref="G2116:H2116"/>
    <mergeCell ref="G2117:H2117"/>
    <mergeCell ref="G2118:H2118"/>
    <mergeCell ref="G2123:H2123"/>
    <mergeCell ref="G2143:H2143"/>
    <mergeCell ref="G2144:H2144"/>
    <mergeCell ref="G2150:H2150"/>
    <mergeCell ref="G2156:H2156"/>
    <mergeCell ref="G2169:H2169"/>
    <mergeCell ref="G2174:H2174"/>
    <mergeCell ref="G2175:H2175"/>
    <mergeCell ref="G2176:H2176"/>
    <mergeCell ref="G2177:H2177"/>
    <mergeCell ref="G2178:H2178"/>
    <mergeCell ref="G2179:H2179"/>
    <mergeCell ref="G2180:H2180"/>
    <mergeCell ref="G2181:H2181"/>
    <mergeCell ref="G2182:H2182"/>
    <mergeCell ref="G2183:H2183"/>
    <mergeCell ref="G2184:H2184"/>
    <mergeCell ref="G2185:H2185"/>
    <mergeCell ref="G2186:H2186"/>
    <mergeCell ref="G2187:H2187"/>
    <mergeCell ref="G2188:H2188"/>
    <mergeCell ref="G2189:H2189"/>
    <mergeCell ref="G2190:H2190"/>
    <mergeCell ref="G2191:H2191"/>
    <mergeCell ref="G2192:H2192"/>
    <mergeCell ref="G2193:H2193"/>
    <mergeCell ref="G2194:H2194"/>
    <mergeCell ref="G2195:H2195"/>
    <mergeCell ref="G2204:H2204"/>
    <mergeCell ref="G2213:H2213"/>
    <mergeCell ref="G2222:H2222"/>
    <mergeCell ref="G2231:H2231"/>
    <mergeCell ref="G2240:H2240"/>
    <mergeCell ref="G2249:H2249"/>
    <mergeCell ref="G2258:H2258"/>
    <mergeCell ref="G2267:H2267"/>
    <mergeCell ref="G2324:H2324"/>
    <mergeCell ref="G2325:H2325"/>
    <mergeCell ref="G2326:H2326"/>
    <mergeCell ref="G2347:H2347"/>
    <mergeCell ref="G2348:H2348"/>
    <mergeCell ref="G2349:H2349"/>
    <mergeCell ref="G2358:H2358"/>
    <mergeCell ref="G2359:H2359"/>
    <mergeCell ref="G2364:H2364"/>
    <mergeCell ref="G2365:H2365"/>
    <mergeCell ref="G2367:H2367"/>
    <mergeCell ref="G2368:H2368"/>
    <mergeCell ref="G2369:H2369"/>
    <mergeCell ref="A6:A9"/>
    <mergeCell ref="A252:A283"/>
    <mergeCell ref="A284:A291"/>
    <mergeCell ref="A343:A346"/>
    <mergeCell ref="A355:A358"/>
    <mergeCell ref="A596:A627"/>
    <mergeCell ref="A629:A636"/>
    <mergeCell ref="A689:A692"/>
    <mergeCell ref="A935:A966"/>
    <mergeCell ref="A967:A974"/>
    <mergeCell ref="A1026:A1029"/>
    <mergeCell ref="A1272:A1303"/>
    <mergeCell ref="A1304:A1311"/>
    <mergeCell ref="A1363:A1366"/>
    <mergeCell ref="A1609:A1640"/>
    <mergeCell ref="A1641:A1648"/>
    <mergeCell ref="A1700:A1703"/>
    <mergeCell ref="A1946:A1977"/>
    <mergeCell ref="A1978:A1985"/>
    <mergeCell ref="A2037:A2040"/>
    <mergeCell ref="A2284:A2315"/>
    <mergeCell ref="A2316:A2323"/>
    <mergeCell ref="B6:B9"/>
    <mergeCell ref="B252:B283"/>
    <mergeCell ref="B284:B291"/>
    <mergeCell ref="B343:B346"/>
    <mergeCell ref="B355:B358"/>
    <mergeCell ref="B596:B627"/>
    <mergeCell ref="B629:B636"/>
    <mergeCell ref="B689:B692"/>
    <mergeCell ref="B935:B966"/>
    <mergeCell ref="B967:B974"/>
    <mergeCell ref="B1026:B1029"/>
    <mergeCell ref="B1272:B1303"/>
    <mergeCell ref="B1304:B1311"/>
    <mergeCell ref="B1363:B1366"/>
    <mergeCell ref="B1609:B1640"/>
    <mergeCell ref="B1641:B1648"/>
    <mergeCell ref="B1700:B1703"/>
    <mergeCell ref="B1946:B1977"/>
    <mergeCell ref="B1978:B1985"/>
    <mergeCell ref="B2037:B2040"/>
    <mergeCell ref="B2284:B2315"/>
    <mergeCell ref="B2316:B2323"/>
    <mergeCell ref="C6:C9"/>
    <mergeCell ref="C252:C283"/>
    <mergeCell ref="C284:C291"/>
    <mergeCell ref="C343:C346"/>
    <mergeCell ref="C355:C358"/>
    <mergeCell ref="C596:C627"/>
    <mergeCell ref="C629:C636"/>
    <mergeCell ref="C689:C692"/>
    <mergeCell ref="C935:C966"/>
    <mergeCell ref="C967:C974"/>
    <mergeCell ref="C1026:C1029"/>
    <mergeCell ref="C1272:C1303"/>
    <mergeCell ref="C1304:C1311"/>
    <mergeCell ref="C1363:C1366"/>
    <mergeCell ref="C1609:C1640"/>
    <mergeCell ref="C1641:C1648"/>
    <mergeCell ref="C1700:C1703"/>
    <mergeCell ref="C1946:C1977"/>
    <mergeCell ref="C1978:C1985"/>
    <mergeCell ref="C2037:C2040"/>
    <mergeCell ref="C2284:C2315"/>
    <mergeCell ref="C2316:C2323"/>
    <mergeCell ref="D6:D9"/>
    <mergeCell ref="D252:D283"/>
    <mergeCell ref="D284:D291"/>
    <mergeCell ref="D343:D346"/>
    <mergeCell ref="D355:D358"/>
    <mergeCell ref="D596:D627"/>
    <mergeCell ref="D629:D636"/>
    <mergeCell ref="D689:D692"/>
    <mergeCell ref="D935:D966"/>
    <mergeCell ref="D967:D974"/>
    <mergeCell ref="D1026:D1029"/>
    <mergeCell ref="D1272:D1303"/>
    <mergeCell ref="D1304:D1311"/>
    <mergeCell ref="D1363:D1366"/>
    <mergeCell ref="D1609:D1640"/>
    <mergeCell ref="D1641:D1648"/>
    <mergeCell ref="D1700:D1703"/>
    <mergeCell ref="D1946:D1977"/>
    <mergeCell ref="D1978:D1985"/>
    <mergeCell ref="D2037:D2040"/>
    <mergeCell ref="D2284:D2315"/>
    <mergeCell ref="D2316:D2323"/>
    <mergeCell ref="E6:E9"/>
    <mergeCell ref="E252:E283"/>
    <mergeCell ref="E284:E291"/>
    <mergeCell ref="E343:E346"/>
    <mergeCell ref="E355:E358"/>
    <mergeCell ref="E596:E627"/>
    <mergeCell ref="E629:E636"/>
    <mergeCell ref="E689:E692"/>
    <mergeCell ref="E935:E966"/>
    <mergeCell ref="E967:E974"/>
    <mergeCell ref="E1026:E1029"/>
    <mergeCell ref="E1272:E1303"/>
    <mergeCell ref="E1304:E1311"/>
    <mergeCell ref="E1363:E1366"/>
    <mergeCell ref="E1609:E1640"/>
    <mergeCell ref="E1641:E1648"/>
    <mergeCell ref="E1700:E1703"/>
    <mergeCell ref="E1946:E1977"/>
    <mergeCell ref="E1978:E1985"/>
    <mergeCell ref="E2037:E2040"/>
    <mergeCell ref="E2284:E2315"/>
    <mergeCell ref="E2316:E2323"/>
    <mergeCell ref="F6:F9"/>
    <mergeCell ref="F252:F283"/>
    <mergeCell ref="F284:F291"/>
    <mergeCell ref="F343:F346"/>
    <mergeCell ref="F355:F358"/>
    <mergeCell ref="F596:F627"/>
    <mergeCell ref="F629:F636"/>
    <mergeCell ref="F689:F692"/>
    <mergeCell ref="F935:F966"/>
    <mergeCell ref="F967:F974"/>
    <mergeCell ref="F1026:F1029"/>
    <mergeCell ref="F1272:F1303"/>
    <mergeCell ref="F1304:F1311"/>
    <mergeCell ref="F1363:F1366"/>
    <mergeCell ref="F1609:F1640"/>
    <mergeCell ref="F1641:F1648"/>
    <mergeCell ref="F1700:F1703"/>
    <mergeCell ref="F1946:F1977"/>
    <mergeCell ref="F1978:F1985"/>
    <mergeCell ref="F2037:F2040"/>
    <mergeCell ref="F2284:F2315"/>
    <mergeCell ref="F2316:F2323"/>
    <mergeCell ref="G6:G9"/>
    <mergeCell ref="G10:G13"/>
    <mergeCell ref="G14:G17"/>
    <mergeCell ref="G18:G21"/>
    <mergeCell ref="G22:G25"/>
    <mergeCell ref="G26:G29"/>
    <mergeCell ref="G30:G33"/>
    <mergeCell ref="G34:G37"/>
    <mergeCell ref="G38:G41"/>
    <mergeCell ref="G53:G57"/>
    <mergeCell ref="G58:G62"/>
    <mergeCell ref="G63:G66"/>
    <mergeCell ref="G67:G70"/>
    <mergeCell ref="G71:G74"/>
    <mergeCell ref="G87:G90"/>
    <mergeCell ref="G92:G96"/>
    <mergeCell ref="G97:G101"/>
    <mergeCell ref="G102:G105"/>
    <mergeCell ref="G106:G109"/>
    <mergeCell ref="G113:G117"/>
    <mergeCell ref="G119:G123"/>
    <mergeCell ref="G125:G128"/>
    <mergeCell ref="G129:G132"/>
    <mergeCell ref="G133:G136"/>
    <mergeCell ref="G138:G141"/>
    <mergeCell ref="G164:G167"/>
    <mergeCell ref="G168:G171"/>
    <mergeCell ref="G173:G176"/>
    <mergeCell ref="G177:G180"/>
    <mergeCell ref="G182:G185"/>
    <mergeCell ref="G186:G189"/>
    <mergeCell ref="G191:G194"/>
    <mergeCell ref="G195:G198"/>
    <mergeCell ref="G200:G203"/>
    <mergeCell ref="G204:G207"/>
    <mergeCell ref="G209:G212"/>
    <mergeCell ref="G213:G216"/>
    <mergeCell ref="G218:G221"/>
    <mergeCell ref="G222:G225"/>
    <mergeCell ref="G227:G230"/>
    <mergeCell ref="G231:G234"/>
    <mergeCell ref="G236:G239"/>
    <mergeCell ref="G240:G243"/>
    <mergeCell ref="G244:G247"/>
    <mergeCell ref="G248:G251"/>
    <mergeCell ref="G252:G283"/>
    <mergeCell ref="G284:G291"/>
    <mergeCell ref="G295:G298"/>
    <mergeCell ref="G299:G303"/>
    <mergeCell ref="G304:G308"/>
    <mergeCell ref="G309:G313"/>
    <mergeCell ref="G318:G321"/>
    <mergeCell ref="G322:G325"/>
    <mergeCell ref="G328:G331"/>
    <mergeCell ref="G343:G346"/>
    <mergeCell ref="G347:G350"/>
    <mergeCell ref="G351:G354"/>
    <mergeCell ref="G355:G358"/>
    <mergeCell ref="G359:G362"/>
    <mergeCell ref="G363:G366"/>
    <mergeCell ref="G367:G370"/>
    <mergeCell ref="G371:G374"/>
    <mergeCell ref="G375:G378"/>
    <mergeCell ref="G379:G382"/>
    <mergeCell ref="G395:G399"/>
    <mergeCell ref="G400:G404"/>
    <mergeCell ref="G405:G408"/>
    <mergeCell ref="G409:G412"/>
    <mergeCell ref="G413:G416"/>
    <mergeCell ref="G431:G434"/>
    <mergeCell ref="G436:G440"/>
    <mergeCell ref="G441:G445"/>
    <mergeCell ref="G446:G449"/>
    <mergeCell ref="G450:G453"/>
    <mergeCell ref="G457:G461"/>
    <mergeCell ref="G463:G467"/>
    <mergeCell ref="G469:G472"/>
    <mergeCell ref="G473:G476"/>
    <mergeCell ref="G477:G480"/>
    <mergeCell ref="G482:G485"/>
    <mergeCell ref="G508:G511"/>
    <mergeCell ref="G512:G515"/>
    <mergeCell ref="G517:G520"/>
    <mergeCell ref="G521:G524"/>
    <mergeCell ref="G526:G529"/>
    <mergeCell ref="G530:G533"/>
    <mergeCell ref="G535:G538"/>
    <mergeCell ref="G539:G542"/>
    <mergeCell ref="G544:G547"/>
    <mergeCell ref="G548:G551"/>
    <mergeCell ref="G553:G556"/>
    <mergeCell ref="G557:G560"/>
    <mergeCell ref="G562:G565"/>
    <mergeCell ref="G566:G569"/>
    <mergeCell ref="G571:G574"/>
    <mergeCell ref="G575:G578"/>
    <mergeCell ref="G580:G583"/>
    <mergeCell ref="G584:G587"/>
    <mergeCell ref="G588:G591"/>
    <mergeCell ref="G592:G595"/>
    <mergeCell ref="G596:G627"/>
    <mergeCell ref="G629:G636"/>
    <mergeCell ref="G641:G644"/>
    <mergeCell ref="G645:G649"/>
    <mergeCell ref="G650:G654"/>
    <mergeCell ref="G655:G659"/>
    <mergeCell ref="G664:G667"/>
    <mergeCell ref="G668:G671"/>
    <mergeCell ref="G674:G677"/>
    <mergeCell ref="G689:G692"/>
    <mergeCell ref="G693:G696"/>
    <mergeCell ref="G697:G700"/>
    <mergeCell ref="G701:G704"/>
    <mergeCell ref="G705:G708"/>
    <mergeCell ref="G709:G712"/>
    <mergeCell ref="G713:G716"/>
    <mergeCell ref="G717:G720"/>
    <mergeCell ref="G721:G724"/>
    <mergeCell ref="G736:G740"/>
    <mergeCell ref="G741:G745"/>
    <mergeCell ref="G746:G749"/>
    <mergeCell ref="G750:G753"/>
    <mergeCell ref="G754:G757"/>
    <mergeCell ref="G770:G773"/>
    <mergeCell ref="G775:G779"/>
    <mergeCell ref="G780:G784"/>
    <mergeCell ref="G785:G788"/>
    <mergeCell ref="G789:G792"/>
    <mergeCell ref="G796:G800"/>
    <mergeCell ref="G802:G806"/>
    <mergeCell ref="G808:G811"/>
    <mergeCell ref="G812:G815"/>
    <mergeCell ref="G816:G819"/>
    <mergeCell ref="G821:G824"/>
    <mergeCell ref="G847:G850"/>
    <mergeCell ref="G851:G854"/>
    <mergeCell ref="G856:G859"/>
    <mergeCell ref="G860:G863"/>
    <mergeCell ref="G865:G868"/>
    <mergeCell ref="G869:G872"/>
    <mergeCell ref="G874:G877"/>
    <mergeCell ref="G878:G881"/>
    <mergeCell ref="G883:G886"/>
    <mergeCell ref="G887:G890"/>
    <mergeCell ref="G892:G895"/>
    <mergeCell ref="G896:G899"/>
    <mergeCell ref="G901:G904"/>
    <mergeCell ref="G905:G908"/>
    <mergeCell ref="G910:G913"/>
    <mergeCell ref="G914:G917"/>
    <mergeCell ref="G919:G922"/>
    <mergeCell ref="G923:G926"/>
    <mergeCell ref="G927:G930"/>
    <mergeCell ref="G931:G934"/>
    <mergeCell ref="G935:G966"/>
    <mergeCell ref="G967:G974"/>
    <mergeCell ref="G978:G981"/>
    <mergeCell ref="G982:G986"/>
    <mergeCell ref="G987:G991"/>
    <mergeCell ref="G992:G996"/>
    <mergeCell ref="G1001:G1004"/>
    <mergeCell ref="G1005:G1008"/>
    <mergeCell ref="G1011:G1014"/>
    <mergeCell ref="G1026:G1029"/>
    <mergeCell ref="G1030:G1033"/>
    <mergeCell ref="G1034:G1037"/>
    <mergeCell ref="G1038:G1041"/>
    <mergeCell ref="G1042:G1045"/>
    <mergeCell ref="G1046:G1049"/>
    <mergeCell ref="G1050:G1053"/>
    <mergeCell ref="G1054:G1057"/>
    <mergeCell ref="G1058:G1061"/>
    <mergeCell ref="G1073:G1077"/>
    <mergeCell ref="G1078:G1082"/>
    <mergeCell ref="G1083:G1086"/>
    <mergeCell ref="G1087:G1090"/>
    <mergeCell ref="G1091:G1094"/>
    <mergeCell ref="G1107:G1110"/>
    <mergeCell ref="G1112:G1116"/>
    <mergeCell ref="G1117:G1121"/>
    <mergeCell ref="G1122:G1125"/>
    <mergeCell ref="G1126:G1129"/>
    <mergeCell ref="G1133:G1137"/>
    <mergeCell ref="G1139:G1143"/>
    <mergeCell ref="G1145:G1148"/>
    <mergeCell ref="G1149:G1152"/>
    <mergeCell ref="G1153:G1156"/>
    <mergeCell ref="G1158:G1161"/>
    <mergeCell ref="G1184:G1187"/>
    <mergeCell ref="G1188:G1191"/>
    <mergeCell ref="G1193:G1196"/>
    <mergeCell ref="G1197:G1200"/>
    <mergeCell ref="G1202:G1205"/>
    <mergeCell ref="G1206:G1209"/>
    <mergeCell ref="G1211:G1214"/>
    <mergeCell ref="G1215:G1218"/>
    <mergeCell ref="G1220:G1223"/>
    <mergeCell ref="G1224:G1227"/>
    <mergeCell ref="G1229:G1232"/>
    <mergeCell ref="G1233:G1236"/>
    <mergeCell ref="G1238:G1241"/>
    <mergeCell ref="G1242:G1245"/>
    <mergeCell ref="G1247:G1250"/>
    <mergeCell ref="G1251:G1254"/>
    <mergeCell ref="G1256:G1259"/>
    <mergeCell ref="G1260:G1263"/>
    <mergeCell ref="G1264:G1267"/>
    <mergeCell ref="G1268:G1271"/>
    <mergeCell ref="G1272:G1303"/>
    <mergeCell ref="G1304:G1311"/>
    <mergeCell ref="G1315:G1318"/>
    <mergeCell ref="G1319:G1323"/>
    <mergeCell ref="G1324:G1328"/>
    <mergeCell ref="G1329:G1333"/>
    <mergeCell ref="G1338:G1341"/>
    <mergeCell ref="G1342:G1345"/>
    <mergeCell ref="G1348:G1351"/>
    <mergeCell ref="G1363:G1366"/>
    <mergeCell ref="G1367:G1370"/>
    <mergeCell ref="G1371:G1374"/>
    <mergeCell ref="G1375:G1378"/>
    <mergeCell ref="G1379:G1382"/>
    <mergeCell ref="G1383:G1386"/>
    <mergeCell ref="G1387:G1390"/>
    <mergeCell ref="G1391:G1394"/>
    <mergeCell ref="G1395:G1398"/>
    <mergeCell ref="G1410:G1414"/>
    <mergeCell ref="G1415:G1419"/>
    <mergeCell ref="G1420:G1423"/>
    <mergeCell ref="G1424:G1427"/>
    <mergeCell ref="G1428:G1431"/>
    <mergeCell ref="G1444:G1447"/>
    <mergeCell ref="G1449:G1453"/>
    <mergeCell ref="G1454:G1458"/>
    <mergeCell ref="G1459:G1462"/>
    <mergeCell ref="G1463:G1466"/>
    <mergeCell ref="G1470:G1474"/>
    <mergeCell ref="G1476:G1480"/>
    <mergeCell ref="G1482:G1485"/>
    <mergeCell ref="G1486:G1489"/>
    <mergeCell ref="G1490:G1493"/>
    <mergeCell ref="G1495:G1498"/>
    <mergeCell ref="G1521:G1524"/>
    <mergeCell ref="G1525:G1528"/>
    <mergeCell ref="G1530:G1533"/>
    <mergeCell ref="G1534:G1537"/>
    <mergeCell ref="G1539:G1542"/>
    <mergeCell ref="G1543:G1546"/>
    <mergeCell ref="G1548:G1551"/>
    <mergeCell ref="G1552:G1555"/>
    <mergeCell ref="G1557:G1560"/>
    <mergeCell ref="G1561:G1564"/>
    <mergeCell ref="G1566:G1569"/>
    <mergeCell ref="G1570:G1573"/>
    <mergeCell ref="G1575:G1578"/>
    <mergeCell ref="G1579:G1582"/>
    <mergeCell ref="G1584:G1587"/>
    <mergeCell ref="G1588:G1591"/>
    <mergeCell ref="G1593:G1596"/>
    <mergeCell ref="G1597:G1600"/>
    <mergeCell ref="G1601:G1604"/>
    <mergeCell ref="G1605:G1608"/>
    <mergeCell ref="G1609:G1640"/>
    <mergeCell ref="G1641:G1648"/>
    <mergeCell ref="G1652:G1655"/>
    <mergeCell ref="G1656:G1660"/>
    <mergeCell ref="G1661:G1665"/>
    <mergeCell ref="G1666:G1670"/>
    <mergeCell ref="G1675:G1678"/>
    <mergeCell ref="G1679:G1682"/>
    <mergeCell ref="G1685:G1688"/>
    <mergeCell ref="G1700:G1703"/>
    <mergeCell ref="G1704:G1707"/>
    <mergeCell ref="G1708:G1711"/>
    <mergeCell ref="G1712:G1715"/>
    <mergeCell ref="G1716:G1719"/>
    <mergeCell ref="G1720:G1723"/>
    <mergeCell ref="G1724:G1727"/>
    <mergeCell ref="G1728:G1731"/>
    <mergeCell ref="G1732:G1735"/>
    <mergeCell ref="G1747:G1751"/>
    <mergeCell ref="G1752:G1756"/>
    <mergeCell ref="G1757:G1760"/>
    <mergeCell ref="G1761:G1764"/>
    <mergeCell ref="G1765:G1768"/>
    <mergeCell ref="G1781:G1784"/>
    <mergeCell ref="G1786:G1790"/>
    <mergeCell ref="G1791:G1795"/>
    <mergeCell ref="G1796:G1799"/>
    <mergeCell ref="G1800:G1803"/>
    <mergeCell ref="G1807:G1811"/>
    <mergeCell ref="G1813:G1817"/>
    <mergeCell ref="G1819:G1822"/>
    <mergeCell ref="G1823:G1826"/>
    <mergeCell ref="G1827:G1830"/>
    <mergeCell ref="G1832:G1835"/>
    <mergeCell ref="G1858:G1861"/>
    <mergeCell ref="G1862:G1865"/>
    <mergeCell ref="G1867:G1870"/>
    <mergeCell ref="G1871:G1874"/>
    <mergeCell ref="G1876:G1879"/>
    <mergeCell ref="G1880:G1883"/>
    <mergeCell ref="G1885:G1888"/>
    <mergeCell ref="G1889:G1892"/>
    <mergeCell ref="G1894:G1897"/>
    <mergeCell ref="G1898:G1901"/>
    <mergeCell ref="G1903:G1906"/>
    <mergeCell ref="G1907:G1910"/>
    <mergeCell ref="G1912:G1915"/>
    <mergeCell ref="G1916:G1919"/>
    <mergeCell ref="G1921:G1924"/>
    <mergeCell ref="G1925:G1928"/>
    <mergeCell ref="G1930:G1933"/>
    <mergeCell ref="G1934:G1937"/>
    <mergeCell ref="G1938:G1941"/>
    <mergeCell ref="G1942:G1945"/>
    <mergeCell ref="G1946:G1977"/>
    <mergeCell ref="G1978:G1985"/>
    <mergeCell ref="G1989:G1992"/>
    <mergeCell ref="G1993:G1997"/>
    <mergeCell ref="G1998:G2002"/>
    <mergeCell ref="G2003:G2007"/>
    <mergeCell ref="G2012:G2015"/>
    <mergeCell ref="G2016:G2019"/>
    <mergeCell ref="G2022:G2025"/>
    <mergeCell ref="G2037:G2040"/>
    <mergeCell ref="G2041:G2044"/>
    <mergeCell ref="G2045:G2048"/>
    <mergeCell ref="G2049:G2052"/>
    <mergeCell ref="G2053:G2056"/>
    <mergeCell ref="G2057:G2060"/>
    <mergeCell ref="G2061:G2064"/>
    <mergeCell ref="G2065:G2068"/>
    <mergeCell ref="G2069:G2072"/>
    <mergeCell ref="G2084:G2088"/>
    <mergeCell ref="G2089:G2093"/>
    <mergeCell ref="G2094:G2097"/>
    <mergeCell ref="G2098:G2101"/>
    <mergeCell ref="G2102:G2105"/>
    <mergeCell ref="G2119:G2122"/>
    <mergeCell ref="G2124:G2128"/>
    <mergeCell ref="G2129:G2133"/>
    <mergeCell ref="G2134:G2137"/>
    <mergeCell ref="G2138:G2141"/>
    <mergeCell ref="G2145:G2149"/>
    <mergeCell ref="G2151:G2155"/>
    <mergeCell ref="G2157:G2160"/>
    <mergeCell ref="G2161:G2164"/>
    <mergeCell ref="G2165:G2168"/>
    <mergeCell ref="G2170:G2173"/>
    <mergeCell ref="G2196:G2199"/>
    <mergeCell ref="G2200:G2203"/>
    <mergeCell ref="G2205:G2208"/>
    <mergeCell ref="G2209:G2212"/>
    <mergeCell ref="G2214:G2217"/>
    <mergeCell ref="G2218:G2221"/>
    <mergeCell ref="G2223:G2226"/>
    <mergeCell ref="G2227:G2230"/>
    <mergeCell ref="G2232:G2235"/>
    <mergeCell ref="G2236:G2239"/>
    <mergeCell ref="G2241:G2244"/>
    <mergeCell ref="G2245:G2248"/>
    <mergeCell ref="G2250:G2253"/>
    <mergeCell ref="G2254:G2257"/>
    <mergeCell ref="G2259:G2262"/>
    <mergeCell ref="G2263:G2266"/>
    <mergeCell ref="G2268:G2271"/>
    <mergeCell ref="G2272:G2275"/>
    <mergeCell ref="G2276:G2279"/>
    <mergeCell ref="G2280:G2283"/>
    <mergeCell ref="G2284:G2315"/>
    <mergeCell ref="G2316:G2323"/>
    <mergeCell ref="G2327:G2330"/>
    <mergeCell ref="G2331:G2335"/>
    <mergeCell ref="G2336:G2340"/>
    <mergeCell ref="G2341:G2345"/>
    <mergeCell ref="G2350:G2353"/>
    <mergeCell ref="G2354:G2357"/>
    <mergeCell ref="G2360:G2363"/>
    <mergeCell ref="H10:H13"/>
    <mergeCell ref="H14:H17"/>
    <mergeCell ref="H18:H21"/>
    <mergeCell ref="H22:H25"/>
    <mergeCell ref="H26:H29"/>
    <mergeCell ref="H30:H33"/>
    <mergeCell ref="H34:H37"/>
    <mergeCell ref="H38:H41"/>
    <mergeCell ref="H53:H57"/>
    <mergeCell ref="H58:H62"/>
    <mergeCell ref="H63:H66"/>
    <mergeCell ref="H67:H70"/>
    <mergeCell ref="H71:H74"/>
    <mergeCell ref="H87:H90"/>
    <mergeCell ref="H92:H96"/>
    <mergeCell ref="H97:H101"/>
    <mergeCell ref="H102:H105"/>
    <mergeCell ref="H106:H109"/>
    <mergeCell ref="H113:H117"/>
    <mergeCell ref="H119:H123"/>
    <mergeCell ref="H125:H128"/>
    <mergeCell ref="H129:H132"/>
    <mergeCell ref="H133:H136"/>
    <mergeCell ref="H138:H141"/>
    <mergeCell ref="H164:H167"/>
    <mergeCell ref="H168:H171"/>
    <mergeCell ref="H173:H176"/>
    <mergeCell ref="H177:H180"/>
    <mergeCell ref="H182:H185"/>
    <mergeCell ref="H186:H189"/>
    <mergeCell ref="H191:H194"/>
    <mergeCell ref="H195:H198"/>
    <mergeCell ref="H200:H203"/>
    <mergeCell ref="H204:H207"/>
    <mergeCell ref="H209:H212"/>
    <mergeCell ref="H213:H216"/>
    <mergeCell ref="H218:H221"/>
    <mergeCell ref="H222:H225"/>
    <mergeCell ref="H227:H230"/>
    <mergeCell ref="H231:H234"/>
    <mergeCell ref="H236:H239"/>
    <mergeCell ref="H240:H243"/>
    <mergeCell ref="H244:H247"/>
    <mergeCell ref="H248:H251"/>
    <mergeCell ref="H295:H298"/>
    <mergeCell ref="H299:H303"/>
    <mergeCell ref="H304:H308"/>
    <mergeCell ref="H309:H313"/>
    <mergeCell ref="H318:H321"/>
    <mergeCell ref="H322:H325"/>
    <mergeCell ref="H328:H331"/>
    <mergeCell ref="H347:H350"/>
    <mergeCell ref="H351:H354"/>
    <mergeCell ref="H359:H362"/>
    <mergeCell ref="H363:H366"/>
    <mergeCell ref="H367:H370"/>
    <mergeCell ref="H371:H374"/>
    <mergeCell ref="H375:H378"/>
    <mergeCell ref="H379:H382"/>
    <mergeCell ref="H395:H399"/>
    <mergeCell ref="H400:H404"/>
    <mergeCell ref="H405:H408"/>
    <mergeCell ref="H409:H412"/>
    <mergeCell ref="H413:H416"/>
    <mergeCell ref="H431:H434"/>
    <mergeCell ref="H436:H440"/>
    <mergeCell ref="H441:H445"/>
    <mergeCell ref="H446:H449"/>
    <mergeCell ref="H450:H453"/>
    <mergeCell ref="H457:H461"/>
    <mergeCell ref="H463:H467"/>
    <mergeCell ref="H469:H472"/>
    <mergeCell ref="H473:H476"/>
    <mergeCell ref="H477:H480"/>
    <mergeCell ref="H482:H485"/>
    <mergeCell ref="H508:H511"/>
    <mergeCell ref="H512:H515"/>
    <mergeCell ref="H517:H520"/>
    <mergeCell ref="H521:H524"/>
    <mergeCell ref="H526:H529"/>
    <mergeCell ref="H530:H533"/>
    <mergeCell ref="H535:H538"/>
    <mergeCell ref="H539:H542"/>
    <mergeCell ref="H544:H547"/>
    <mergeCell ref="H548:H551"/>
    <mergeCell ref="H553:H556"/>
    <mergeCell ref="H557:H560"/>
    <mergeCell ref="H562:H565"/>
    <mergeCell ref="H566:H569"/>
    <mergeCell ref="H571:H574"/>
    <mergeCell ref="H575:H578"/>
    <mergeCell ref="H580:H583"/>
    <mergeCell ref="H584:H587"/>
    <mergeCell ref="H588:H591"/>
    <mergeCell ref="H592:H595"/>
    <mergeCell ref="H641:H644"/>
    <mergeCell ref="H645:H649"/>
    <mergeCell ref="H650:H654"/>
    <mergeCell ref="H655:H659"/>
    <mergeCell ref="H664:H667"/>
    <mergeCell ref="H668:H671"/>
    <mergeCell ref="H674:H677"/>
    <mergeCell ref="H693:H696"/>
    <mergeCell ref="H697:H700"/>
    <mergeCell ref="H701:H704"/>
    <mergeCell ref="H705:H708"/>
    <mergeCell ref="H709:H712"/>
    <mergeCell ref="H713:H716"/>
    <mergeCell ref="H717:H720"/>
    <mergeCell ref="H721:H724"/>
    <mergeCell ref="H736:H740"/>
    <mergeCell ref="H741:H745"/>
    <mergeCell ref="H746:H749"/>
    <mergeCell ref="H750:H753"/>
    <mergeCell ref="H754:H757"/>
    <mergeCell ref="H770:H773"/>
    <mergeCell ref="H775:H779"/>
    <mergeCell ref="H780:H784"/>
    <mergeCell ref="H785:H788"/>
    <mergeCell ref="H789:H792"/>
    <mergeCell ref="H796:H800"/>
    <mergeCell ref="H802:H806"/>
    <mergeCell ref="H808:H811"/>
    <mergeCell ref="H812:H815"/>
    <mergeCell ref="H816:H819"/>
    <mergeCell ref="H821:H824"/>
    <mergeCell ref="H847:H850"/>
    <mergeCell ref="H851:H854"/>
    <mergeCell ref="H856:H859"/>
    <mergeCell ref="H860:H863"/>
    <mergeCell ref="H865:H868"/>
    <mergeCell ref="H869:H872"/>
    <mergeCell ref="H874:H877"/>
    <mergeCell ref="H878:H881"/>
    <mergeCell ref="H883:H886"/>
    <mergeCell ref="H887:H890"/>
    <mergeCell ref="H892:H895"/>
    <mergeCell ref="H896:H899"/>
    <mergeCell ref="H901:H904"/>
    <mergeCell ref="H905:H908"/>
    <mergeCell ref="H910:H913"/>
    <mergeCell ref="H914:H917"/>
    <mergeCell ref="H919:H922"/>
    <mergeCell ref="H923:H926"/>
    <mergeCell ref="H927:H930"/>
    <mergeCell ref="H931:H934"/>
    <mergeCell ref="H978:H981"/>
    <mergeCell ref="H982:H986"/>
    <mergeCell ref="H987:H991"/>
    <mergeCell ref="H992:H996"/>
    <mergeCell ref="H1001:H1004"/>
    <mergeCell ref="H1005:H1008"/>
    <mergeCell ref="H1011:H1014"/>
    <mergeCell ref="H1030:H1033"/>
    <mergeCell ref="H1034:H1037"/>
    <mergeCell ref="H1038:H1041"/>
    <mergeCell ref="H1042:H1045"/>
    <mergeCell ref="H1046:H1049"/>
    <mergeCell ref="H1050:H1053"/>
    <mergeCell ref="H1054:H1057"/>
    <mergeCell ref="H1058:H1061"/>
    <mergeCell ref="H1073:H1077"/>
    <mergeCell ref="H1078:H1082"/>
    <mergeCell ref="H1083:H1086"/>
    <mergeCell ref="H1087:H1090"/>
    <mergeCell ref="H1091:H1094"/>
    <mergeCell ref="H1107:H1110"/>
    <mergeCell ref="H1112:H1116"/>
    <mergeCell ref="H1117:H1121"/>
    <mergeCell ref="H1122:H1125"/>
    <mergeCell ref="H1126:H1129"/>
    <mergeCell ref="H1133:H1137"/>
    <mergeCell ref="H1139:H1143"/>
    <mergeCell ref="H1145:H1148"/>
    <mergeCell ref="H1149:H1152"/>
    <mergeCell ref="H1153:H1156"/>
    <mergeCell ref="H1158:H1161"/>
    <mergeCell ref="H1184:H1187"/>
    <mergeCell ref="H1188:H1191"/>
    <mergeCell ref="H1193:H1196"/>
    <mergeCell ref="H1197:H1200"/>
    <mergeCell ref="H1202:H1205"/>
    <mergeCell ref="H1206:H1209"/>
    <mergeCell ref="H1211:H1214"/>
    <mergeCell ref="H1215:H1218"/>
    <mergeCell ref="H1220:H1223"/>
    <mergeCell ref="H1224:H1227"/>
    <mergeCell ref="H1229:H1232"/>
    <mergeCell ref="H1233:H1236"/>
    <mergeCell ref="H1238:H1241"/>
    <mergeCell ref="H1242:H1245"/>
    <mergeCell ref="H1247:H1250"/>
    <mergeCell ref="H1251:H1254"/>
    <mergeCell ref="H1256:H1259"/>
    <mergeCell ref="H1260:H1263"/>
    <mergeCell ref="H1264:H1267"/>
    <mergeCell ref="H1268:H1271"/>
    <mergeCell ref="H1315:H1318"/>
    <mergeCell ref="H1319:H1323"/>
    <mergeCell ref="H1324:H1328"/>
    <mergeCell ref="H1329:H1333"/>
    <mergeCell ref="H1338:H1341"/>
    <mergeCell ref="H1342:H1345"/>
    <mergeCell ref="H1348:H1351"/>
    <mergeCell ref="H1367:H1370"/>
    <mergeCell ref="H1371:H1374"/>
    <mergeCell ref="H1375:H1378"/>
    <mergeCell ref="H1379:H1382"/>
    <mergeCell ref="H1383:H1386"/>
    <mergeCell ref="H1387:H1390"/>
    <mergeCell ref="H1391:H1394"/>
    <mergeCell ref="H1395:H1398"/>
    <mergeCell ref="H1410:H1414"/>
    <mergeCell ref="H1415:H1419"/>
    <mergeCell ref="H1420:H1423"/>
    <mergeCell ref="H1424:H1427"/>
    <mergeCell ref="H1428:H1431"/>
    <mergeCell ref="H1444:H1447"/>
    <mergeCell ref="H1449:H1453"/>
    <mergeCell ref="H1454:H1458"/>
    <mergeCell ref="H1459:H1462"/>
    <mergeCell ref="H1463:H1466"/>
    <mergeCell ref="H1470:H1474"/>
    <mergeCell ref="H1476:H1480"/>
    <mergeCell ref="H1482:H1485"/>
    <mergeCell ref="H1486:H1489"/>
    <mergeCell ref="H1490:H1493"/>
    <mergeCell ref="H1495:H1498"/>
    <mergeCell ref="H1521:H1524"/>
    <mergeCell ref="H1525:H1528"/>
    <mergeCell ref="H1530:H1533"/>
    <mergeCell ref="H1534:H1537"/>
    <mergeCell ref="H1539:H1542"/>
    <mergeCell ref="H1543:H1546"/>
    <mergeCell ref="H1548:H1551"/>
    <mergeCell ref="H1552:H1555"/>
    <mergeCell ref="H1557:H1560"/>
    <mergeCell ref="H1561:H1564"/>
    <mergeCell ref="H1566:H1569"/>
    <mergeCell ref="H1570:H1573"/>
    <mergeCell ref="H1575:H1578"/>
    <mergeCell ref="H1579:H1582"/>
    <mergeCell ref="H1584:H1587"/>
    <mergeCell ref="H1588:H1591"/>
    <mergeCell ref="H1593:H1596"/>
    <mergeCell ref="H1597:H1600"/>
    <mergeCell ref="H1601:H1604"/>
    <mergeCell ref="H1605:H1608"/>
    <mergeCell ref="H1652:H1655"/>
    <mergeCell ref="H1656:H1660"/>
    <mergeCell ref="H1661:H1665"/>
    <mergeCell ref="H1666:H1670"/>
    <mergeCell ref="H1675:H1678"/>
    <mergeCell ref="H1679:H1682"/>
    <mergeCell ref="H1685:H1688"/>
    <mergeCell ref="H1704:H1707"/>
    <mergeCell ref="H1708:H1711"/>
    <mergeCell ref="H1712:H1715"/>
    <mergeCell ref="H1716:H1719"/>
    <mergeCell ref="H1720:H1723"/>
    <mergeCell ref="H1724:H1727"/>
    <mergeCell ref="H1728:H1731"/>
    <mergeCell ref="H1732:H1735"/>
    <mergeCell ref="H1747:H1751"/>
    <mergeCell ref="H1752:H1756"/>
    <mergeCell ref="H1757:H1760"/>
    <mergeCell ref="H1761:H1764"/>
    <mergeCell ref="H1765:H1768"/>
    <mergeCell ref="H1781:H1784"/>
    <mergeCell ref="H1786:H1790"/>
    <mergeCell ref="H1791:H1795"/>
    <mergeCell ref="H1796:H1799"/>
    <mergeCell ref="H1800:H1803"/>
    <mergeCell ref="H1807:H1811"/>
    <mergeCell ref="H1813:H1817"/>
    <mergeCell ref="H1819:H1822"/>
    <mergeCell ref="H1823:H1826"/>
    <mergeCell ref="H1827:H1830"/>
    <mergeCell ref="H1832:H1835"/>
    <mergeCell ref="H1858:H1861"/>
    <mergeCell ref="H1862:H1865"/>
    <mergeCell ref="H1867:H1870"/>
    <mergeCell ref="H1871:H1874"/>
    <mergeCell ref="H1876:H1879"/>
    <mergeCell ref="H1880:H1883"/>
    <mergeCell ref="H1885:H1888"/>
    <mergeCell ref="H1889:H1892"/>
    <mergeCell ref="H1894:H1897"/>
    <mergeCell ref="H1898:H1901"/>
    <mergeCell ref="H1903:H1906"/>
    <mergeCell ref="H1907:H1910"/>
    <mergeCell ref="H1912:H1915"/>
    <mergeCell ref="H1916:H1919"/>
    <mergeCell ref="H1921:H1924"/>
    <mergeCell ref="H1925:H1928"/>
    <mergeCell ref="H1930:H1933"/>
    <mergeCell ref="H1934:H1937"/>
    <mergeCell ref="H1938:H1941"/>
    <mergeCell ref="H1942:H1945"/>
    <mergeCell ref="H1989:H1992"/>
    <mergeCell ref="H1993:H1997"/>
    <mergeCell ref="H1998:H2002"/>
    <mergeCell ref="H2003:H2007"/>
    <mergeCell ref="H2012:H2015"/>
    <mergeCell ref="H2016:H2019"/>
    <mergeCell ref="H2022:H2025"/>
    <mergeCell ref="H2041:H2044"/>
    <mergeCell ref="H2045:H2048"/>
    <mergeCell ref="H2049:H2052"/>
    <mergeCell ref="H2053:H2056"/>
    <mergeCell ref="H2057:H2060"/>
    <mergeCell ref="H2061:H2064"/>
    <mergeCell ref="H2065:H2068"/>
    <mergeCell ref="H2069:H2072"/>
    <mergeCell ref="H2084:H2088"/>
    <mergeCell ref="H2089:H2093"/>
    <mergeCell ref="H2094:H2097"/>
    <mergeCell ref="H2098:H2101"/>
    <mergeCell ref="H2102:H2105"/>
    <mergeCell ref="H2119:H2122"/>
    <mergeCell ref="H2124:H2128"/>
    <mergeCell ref="H2129:H2133"/>
    <mergeCell ref="H2134:H2137"/>
    <mergeCell ref="H2138:H2141"/>
    <mergeCell ref="H2145:H2149"/>
    <mergeCell ref="H2151:H2155"/>
    <mergeCell ref="H2157:H2160"/>
    <mergeCell ref="H2161:H2164"/>
    <mergeCell ref="H2165:H2168"/>
    <mergeCell ref="H2170:H2173"/>
    <mergeCell ref="H2196:H2199"/>
    <mergeCell ref="H2200:H2203"/>
    <mergeCell ref="H2205:H2208"/>
    <mergeCell ref="H2209:H2212"/>
    <mergeCell ref="H2214:H2217"/>
    <mergeCell ref="H2218:H2221"/>
    <mergeCell ref="H2223:H2226"/>
    <mergeCell ref="H2227:H2230"/>
    <mergeCell ref="H2232:H2235"/>
    <mergeCell ref="H2236:H2239"/>
    <mergeCell ref="H2241:H2244"/>
    <mergeCell ref="H2245:H2248"/>
    <mergeCell ref="H2250:H2253"/>
    <mergeCell ref="H2254:H2257"/>
    <mergeCell ref="H2259:H2262"/>
    <mergeCell ref="H2263:H2266"/>
    <mergeCell ref="H2268:H2271"/>
    <mergeCell ref="H2272:H2275"/>
    <mergeCell ref="H2276:H2279"/>
    <mergeCell ref="H2280:H2283"/>
    <mergeCell ref="H2327:H2330"/>
    <mergeCell ref="H2331:H2335"/>
    <mergeCell ref="H2336:H2340"/>
    <mergeCell ref="H2341:H2345"/>
    <mergeCell ref="H2350:H2353"/>
    <mergeCell ref="H2354:H2357"/>
    <mergeCell ref="H2360:H2363"/>
    <mergeCell ref="I6:I9"/>
    <mergeCell ref="I10:I13"/>
    <mergeCell ref="I14:I17"/>
    <mergeCell ref="I18:I21"/>
    <mergeCell ref="I22:I25"/>
    <mergeCell ref="I26:I29"/>
    <mergeCell ref="I30:I33"/>
    <mergeCell ref="I34:I37"/>
    <mergeCell ref="I38:I41"/>
    <mergeCell ref="I53:I57"/>
    <mergeCell ref="I58:I62"/>
    <mergeCell ref="I63:I66"/>
    <mergeCell ref="I67:I70"/>
    <mergeCell ref="I71:I74"/>
    <mergeCell ref="I87:I90"/>
    <mergeCell ref="I92:I96"/>
    <mergeCell ref="I97:I101"/>
    <mergeCell ref="I102:I105"/>
    <mergeCell ref="I106:I109"/>
    <mergeCell ref="I113:I117"/>
    <mergeCell ref="I119:I123"/>
    <mergeCell ref="I125:I128"/>
    <mergeCell ref="I129:I132"/>
    <mergeCell ref="I133:I136"/>
    <mergeCell ref="I138:I141"/>
    <mergeCell ref="I164:I167"/>
    <mergeCell ref="I168:I171"/>
    <mergeCell ref="I173:I176"/>
    <mergeCell ref="I177:I180"/>
    <mergeCell ref="I182:I185"/>
    <mergeCell ref="I186:I189"/>
    <mergeCell ref="I191:I194"/>
    <mergeCell ref="I195:I198"/>
    <mergeCell ref="I200:I203"/>
    <mergeCell ref="I204:I207"/>
    <mergeCell ref="I209:I212"/>
    <mergeCell ref="I213:I216"/>
    <mergeCell ref="I218:I221"/>
    <mergeCell ref="I222:I225"/>
    <mergeCell ref="I227:I230"/>
    <mergeCell ref="I231:I234"/>
    <mergeCell ref="I236:I239"/>
    <mergeCell ref="I240:I243"/>
    <mergeCell ref="I244:I247"/>
    <mergeCell ref="I248:I251"/>
    <mergeCell ref="I252:I283"/>
    <mergeCell ref="I284:I291"/>
    <mergeCell ref="I295:I298"/>
    <mergeCell ref="I299:I303"/>
    <mergeCell ref="I304:I308"/>
    <mergeCell ref="I309:I313"/>
    <mergeCell ref="I318:I321"/>
    <mergeCell ref="I322:I325"/>
    <mergeCell ref="I328:I331"/>
    <mergeCell ref="I343:I346"/>
    <mergeCell ref="I347:I350"/>
    <mergeCell ref="I351:I354"/>
    <mergeCell ref="I355:I358"/>
    <mergeCell ref="I359:I362"/>
    <mergeCell ref="I363:I366"/>
    <mergeCell ref="I367:I370"/>
    <mergeCell ref="I371:I374"/>
    <mergeCell ref="I375:I378"/>
    <mergeCell ref="I379:I382"/>
    <mergeCell ref="I395:I399"/>
    <mergeCell ref="I400:I404"/>
    <mergeCell ref="I405:I408"/>
    <mergeCell ref="I409:I412"/>
    <mergeCell ref="I413:I416"/>
    <mergeCell ref="I431:I434"/>
    <mergeCell ref="I436:I440"/>
    <mergeCell ref="I441:I445"/>
    <mergeCell ref="I446:I449"/>
    <mergeCell ref="I450:I453"/>
    <mergeCell ref="I457:I461"/>
    <mergeCell ref="I463:I467"/>
    <mergeCell ref="I469:I472"/>
    <mergeCell ref="I473:I476"/>
    <mergeCell ref="I477:I480"/>
    <mergeCell ref="I482:I485"/>
    <mergeCell ref="I508:I511"/>
    <mergeCell ref="I512:I515"/>
    <mergeCell ref="I517:I520"/>
    <mergeCell ref="I521:I524"/>
    <mergeCell ref="I526:I529"/>
    <mergeCell ref="I530:I533"/>
    <mergeCell ref="I535:I538"/>
    <mergeCell ref="I539:I542"/>
    <mergeCell ref="I544:I547"/>
    <mergeCell ref="I548:I551"/>
    <mergeCell ref="I553:I556"/>
    <mergeCell ref="I557:I560"/>
    <mergeCell ref="I562:I565"/>
    <mergeCell ref="I566:I569"/>
    <mergeCell ref="I571:I574"/>
    <mergeCell ref="I575:I578"/>
    <mergeCell ref="I580:I583"/>
    <mergeCell ref="I584:I587"/>
    <mergeCell ref="I588:I591"/>
    <mergeCell ref="I592:I595"/>
    <mergeCell ref="I596:I627"/>
    <mergeCell ref="I629:I636"/>
    <mergeCell ref="I641:I644"/>
    <mergeCell ref="I645:I649"/>
    <mergeCell ref="I650:I654"/>
    <mergeCell ref="I655:I659"/>
    <mergeCell ref="I664:I667"/>
    <mergeCell ref="I668:I671"/>
    <mergeCell ref="I674:I677"/>
    <mergeCell ref="I689:I692"/>
    <mergeCell ref="I693:I696"/>
    <mergeCell ref="I697:I700"/>
    <mergeCell ref="I701:I704"/>
    <mergeCell ref="I705:I708"/>
    <mergeCell ref="I709:I712"/>
    <mergeCell ref="I713:I716"/>
    <mergeCell ref="I717:I720"/>
    <mergeCell ref="I721:I724"/>
    <mergeCell ref="I736:I740"/>
    <mergeCell ref="I741:I745"/>
    <mergeCell ref="I746:I749"/>
    <mergeCell ref="I750:I753"/>
    <mergeCell ref="I754:I757"/>
    <mergeCell ref="I770:I773"/>
    <mergeCell ref="I775:I779"/>
    <mergeCell ref="I780:I784"/>
    <mergeCell ref="I785:I788"/>
    <mergeCell ref="I789:I792"/>
    <mergeCell ref="I796:I800"/>
    <mergeCell ref="I802:I806"/>
    <mergeCell ref="I808:I811"/>
    <mergeCell ref="I812:I815"/>
    <mergeCell ref="I816:I819"/>
    <mergeCell ref="I821:I824"/>
    <mergeCell ref="I847:I850"/>
    <mergeCell ref="I851:I854"/>
    <mergeCell ref="I856:I859"/>
    <mergeCell ref="I860:I863"/>
    <mergeCell ref="I865:I868"/>
    <mergeCell ref="I869:I872"/>
    <mergeCell ref="I874:I877"/>
    <mergeCell ref="I878:I881"/>
    <mergeCell ref="I883:I886"/>
    <mergeCell ref="I887:I890"/>
    <mergeCell ref="I892:I895"/>
    <mergeCell ref="I896:I899"/>
    <mergeCell ref="I901:I904"/>
    <mergeCell ref="I905:I908"/>
    <mergeCell ref="I910:I913"/>
    <mergeCell ref="I914:I917"/>
    <mergeCell ref="I919:I922"/>
    <mergeCell ref="I923:I926"/>
    <mergeCell ref="I927:I930"/>
    <mergeCell ref="I931:I934"/>
    <mergeCell ref="I935:I966"/>
    <mergeCell ref="I967:I974"/>
    <mergeCell ref="I978:I981"/>
    <mergeCell ref="I982:I986"/>
    <mergeCell ref="I987:I991"/>
    <mergeCell ref="I992:I996"/>
    <mergeCell ref="I1001:I1004"/>
    <mergeCell ref="I1005:I1008"/>
    <mergeCell ref="I1011:I1014"/>
    <mergeCell ref="I1026:I1029"/>
    <mergeCell ref="I1030:I1033"/>
    <mergeCell ref="I1034:I1037"/>
    <mergeCell ref="I1038:I1041"/>
    <mergeCell ref="I1042:I1045"/>
    <mergeCell ref="I1046:I1049"/>
    <mergeCell ref="I1050:I1053"/>
    <mergeCell ref="I1054:I1057"/>
    <mergeCell ref="I1058:I1061"/>
    <mergeCell ref="I1073:I1077"/>
    <mergeCell ref="I1078:I1082"/>
    <mergeCell ref="I1083:I1086"/>
    <mergeCell ref="I1087:I1090"/>
    <mergeCell ref="I1091:I1094"/>
    <mergeCell ref="I1107:I1110"/>
    <mergeCell ref="I1112:I1116"/>
    <mergeCell ref="I1117:I1121"/>
    <mergeCell ref="I1122:I1125"/>
    <mergeCell ref="I1126:I1129"/>
    <mergeCell ref="I1133:I1137"/>
    <mergeCell ref="I1139:I1143"/>
    <mergeCell ref="I1145:I1148"/>
    <mergeCell ref="I1149:I1152"/>
    <mergeCell ref="I1153:I1156"/>
    <mergeCell ref="I1158:I1161"/>
    <mergeCell ref="I1184:I1187"/>
    <mergeCell ref="I1188:I1191"/>
    <mergeCell ref="I1193:I1196"/>
    <mergeCell ref="I1197:I1200"/>
    <mergeCell ref="I1202:I1205"/>
    <mergeCell ref="I1206:I1209"/>
    <mergeCell ref="I1211:I1214"/>
    <mergeCell ref="I1215:I1218"/>
    <mergeCell ref="I1220:I1223"/>
    <mergeCell ref="I1224:I1227"/>
    <mergeCell ref="I1229:I1232"/>
    <mergeCell ref="I1233:I1236"/>
    <mergeCell ref="I1238:I1241"/>
    <mergeCell ref="I1242:I1245"/>
    <mergeCell ref="I1247:I1250"/>
    <mergeCell ref="I1251:I1254"/>
    <mergeCell ref="I1256:I1259"/>
    <mergeCell ref="I1260:I1263"/>
    <mergeCell ref="I1264:I1267"/>
    <mergeCell ref="I1268:I1271"/>
    <mergeCell ref="I1272:I1303"/>
    <mergeCell ref="I1304:I1311"/>
    <mergeCell ref="I1315:I1318"/>
    <mergeCell ref="I1319:I1323"/>
    <mergeCell ref="I1324:I1328"/>
    <mergeCell ref="I1329:I1333"/>
    <mergeCell ref="I1338:I1341"/>
    <mergeCell ref="I1342:I1345"/>
    <mergeCell ref="I1348:I1351"/>
    <mergeCell ref="I1363:I1366"/>
    <mergeCell ref="I1367:I1370"/>
    <mergeCell ref="I1371:I1374"/>
    <mergeCell ref="I1375:I1378"/>
    <mergeCell ref="I1379:I1382"/>
    <mergeCell ref="I1383:I1386"/>
    <mergeCell ref="I1387:I1390"/>
    <mergeCell ref="I1391:I1394"/>
    <mergeCell ref="I1395:I1398"/>
    <mergeCell ref="I1410:I1414"/>
    <mergeCell ref="I1415:I1419"/>
    <mergeCell ref="I1420:I1423"/>
    <mergeCell ref="I1424:I1427"/>
    <mergeCell ref="I1428:I1431"/>
    <mergeCell ref="I1444:I1447"/>
    <mergeCell ref="I1449:I1453"/>
    <mergeCell ref="I1454:I1458"/>
    <mergeCell ref="I1459:I1462"/>
    <mergeCell ref="I1463:I1466"/>
    <mergeCell ref="I1470:I1474"/>
    <mergeCell ref="I1476:I1480"/>
    <mergeCell ref="I1482:I1485"/>
    <mergeCell ref="I1486:I1489"/>
    <mergeCell ref="I1490:I1493"/>
    <mergeCell ref="I1495:I1498"/>
    <mergeCell ref="I1521:I1524"/>
    <mergeCell ref="I1525:I1528"/>
    <mergeCell ref="I1530:I1533"/>
    <mergeCell ref="I1534:I1537"/>
    <mergeCell ref="I1539:I1542"/>
    <mergeCell ref="I1543:I1546"/>
    <mergeCell ref="I1548:I1551"/>
    <mergeCell ref="I1552:I1555"/>
    <mergeCell ref="I1557:I1560"/>
    <mergeCell ref="I1561:I1564"/>
    <mergeCell ref="I1566:I1569"/>
    <mergeCell ref="I1570:I1573"/>
    <mergeCell ref="I1575:I1578"/>
    <mergeCell ref="I1579:I1582"/>
    <mergeCell ref="I1584:I1587"/>
    <mergeCell ref="I1588:I1591"/>
    <mergeCell ref="I1593:I1596"/>
    <mergeCell ref="I1597:I1600"/>
    <mergeCell ref="I1601:I1604"/>
    <mergeCell ref="I1605:I1608"/>
    <mergeCell ref="I1609:I1640"/>
    <mergeCell ref="I1641:I1648"/>
    <mergeCell ref="I1652:I1655"/>
    <mergeCell ref="I1656:I1660"/>
    <mergeCell ref="I1661:I1665"/>
    <mergeCell ref="I1666:I1670"/>
    <mergeCell ref="I1675:I1678"/>
    <mergeCell ref="I1679:I1682"/>
    <mergeCell ref="I1685:I1688"/>
    <mergeCell ref="I1700:I1703"/>
    <mergeCell ref="I1704:I1707"/>
    <mergeCell ref="I1708:I1711"/>
    <mergeCell ref="I1712:I1715"/>
    <mergeCell ref="I1716:I1719"/>
    <mergeCell ref="I1720:I1723"/>
    <mergeCell ref="I1724:I1727"/>
    <mergeCell ref="I1728:I1731"/>
    <mergeCell ref="I1732:I1735"/>
    <mergeCell ref="I1747:I1751"/>
    <mergeCell ref="I1752:I1756"/>
    <mergeCell ref="I1757:I1760"/>
    <mergeCell ref="I1761:I1764"/>
    <mergeCell ref="I1765:I1768"/>
    <mergeCell ref="I1781:I1784"/>
    <mergeCell ref="I1786:I1790"/>
    <mergeCell ref="I1791:I1795"/>
    <mergeCell ref="I1796:I1799"/>
    <mergeCell ref="I1800:I1803"/>
    <mergeCell ref="I1807:I1811"/>
    <mergeCell ref="I1813:I1817"/>
    <mergeCell ref="I1819:I1822"/>
    <mergeCell ref="I1823:I1826"/>
    <mergeCell ref="I1827:I1830"/>
    <mergeCell ref="I1832:I1835"/>
    <mergeCell ref="I1858:I1861"/>
    <mergeCell ref="I1862:I1865"/>
    <mergeCell ref="I1867:I1870"/>
    <mergeCell ref="I1871:I1874"/>
    <mergeCell ref="I1876:I1879"/>
    <mergeCell ref="I1880:I1883"/>
    <mergeCell ref="I1885:I1888"/>
    <mergeCell ref="I1889:I1892"/>
    <mergeCell ref="I1894:I1897"/>
    <mergeCell ref="I1898:I1901"/>
    <mergeCell ref="I1903:I1906"/>
    <mergeCell ref="I1907:I1910"/>
    <mergeCell ref="I1912:I1915"/>
    <mergeCell ref="I1916:I1919"/>
    <mergeCell ref="I1921:I1924"/>
    <mergeCell ref="I1925:I1928"/>
    <mergeCell ref="I1930:I1933"/>
    <mergeCell ref="I1934:I1937"/>
    <mergeCell ref="I1938:I1941"/>
    <mergeCell ref="I1942:I1945"/>
    <mergeCell ref="I1946:I1977"/>
    <mergeCell ref="I1978:I1985"/>
    <mergeCell ref="I1989:I1992"/>
    <mergeCell ref="I1993:I1997"/>
    <mergeCell ref="I1998:I2002"/>
    <mergeCell ref="I2003:I2007"/>
    <mergeCell ref="I2012:I2015"/>
    <mergeCell ref="I2016:I2019"/>
    <mergeCell ref="I2022:I2025"/>
    <mergeCell ref="I2037:I2040"/>
    <mergeCell ref="I2041:I2044"/>
    <mergeCell ref="I2045:I2048"/>
    <mergeCell ref="I2049:I2052"/>
    <mergeCell ref="I2053:I2056"/>
    <mergeCell ref="I2057:I2060"/>
    <mergeCell ref="I2061:I2064"/>
    <mergeCell ref="I2065:I2068"/>
    <mergeCell ref="I2069:I2072"/>
    <mergeCell ref="I2084:I2088"/>
    <mergeCell ref="I2089:I2093"/>
    <mergeCell ref="I2094:I2097"/>
    <mergeCell ref="I2098:I2101"/>
    <mergeCell ref="I2102:I2105"/>
    <mergeCell ref="I2119:I2122"/>
    <mergeCell ref="I2124:I2128"/>
    <mergeCell ref="I2129:I2133"/>
    <mergeCell ref="I2134:I2137"/>
    <mergeCell ref="I2138:I2141"/>
    <mergeCell ref="I2145:I2149"/>
    <mergeCell ref="I2151:I2155"/>
    <mergeCell ref="I2157:I2160"/>
    <mergeCell ref="I2161:I2164"/>
    <mergeCell ref="I2165:I2168"/>
    <mergeCell ref="I2170:I2173"/>
    <mergeCell ref="I2196:I2199"/>
    <mergeCell ref="I2200:I2203"/>
    <mergeCell ref="I2205:I2208"/>
    <mergeCell ref="I2209:I2212"/>
    <mergeCell ref="I2214:I2217"/>
    <mergeCell ref="I2218:I2221"/>
    <mergeCell ref="I2223:I2226"/>
    <mergeCell ref="I2227:I2230"/>
    <mergeCell ref="I2232:I2235"/>
    <mergeCell ref="I2236:I2239"/>
    <mergeCell ref="I2241:I2244"/>
    <mergeCell ref="I2245:I2248"/>
    <mergeCell ref="I2250:I2253"/>
    <mergeCell ref="I2254:I2257"/>
    <mergeCell ref="I2259:I2262"/>
    <mergeCell ref="I2263:I2266"/>
    <mergeCell ref="I2268:I2271"/>
    <mergeCell ref="I2272:I2275"/>
    <mergeCell ref="I2276:I2279"/>
    <mergeCell ref="I2280:I2283"/>
    <mergeCell ref="I2284:I2315"/>
    <mergeCell ref="I2316:I2323"/>
    <mergeCell ref="I2327:I2330"/>
    <mergeCell ref="I2331:I2335"/>
    <mergeCell ref="I2336:I2340"/>
    <mergeCell ref="I2341:I2345"/>
    <mergeCell ref="I2350:I2353"/>
    <mergeCell ref="I2354:I2357"/>
    <mergeCell ref="I2360:I2363"/>
    <mergeCell ref="J10:J13"/>
    <mergeCell ref="J14:J17"/>
    <mergeCell ref="J18:J21"/>
    <mergeCell ref="J22:J25"/>
    <mergeCell ref="J26:J29"/>
    <mergeCell ref="J30:J33"/>
    <mergeCell ref="J34:J37"/>
    <mergeCell ref="J38:J41"/>
    <mergeCell ref="J53:J57"/>
    <mergeCell ref="J58:J62"/>
    <mergeCell ref="J63:J66"/>
    <mergeCell ref="J67:J70"/>
    <mergeCell ref="J71:J74"/>
    <mergeCell ref="J87:J90"/>
    <mergeCell ref="J92:J96"/>
    <mergeCell ref="J97:J101"/>
    <mergeCell ref="J102:J105"/>
    <mergeCell ref="J106:J109"/>
    <mergeCell ref="J113:J117"/>
    <mergeCell ref="J119:J123"/>
    <mergeCell ref="J125:J128"/>
    <mergeCell ref="J129:J132"/>
    <mergeCell ref="J133:J136"/>
    <mergeCell ref="J138:J141"/>
    <mergeCell ref="J164:J167"/>
    <mergeCell ref="J168:J171"/>
    <mergeCell ref="J173:J176"/>
    <mergeCell ref="J177:J180"/>
    <mergeCell ref="J182:J185"/>
    <mergeCell ref="J186:J189"/>
    <mergeCell ref="J191:J194"/>
    <mergeCell ref="J195:J198"/>
    <mergeCell ref="J200:J203"/>
    <mergeCell ref="J204:J207"/>
    <mergeCell ref="J209:J212"/>
    <mergeCell ref="J213:J216"/>
    <mergeCell ref="J218:J221"/>
    <mergeCell ref="J222:J225"/>
    <mergeCell ref="J227:J230"/>
    <mergeCell ref="J231:J234"/>
    <mergeCell ref="J236:J239"/>
    <mergeCell ref="J240:J243"/>
    <mergeCell ref="J244:J247"/>
    <mergeCell ref="J248:J251"/>
    <mergeCell ref="J295:J298"/>
    <mergeCell ref="J299:J303"/>
    <mergeCell ref="J304:J308"/>
    <mergeCell ref="J309:J313"/>
    <mergeCell ref="J318:J321"/>
    <mergeCell ref="J322:J325"/>
    <mergeCell ref="J328:J331"/>
    <mergeCell ref="J347:J350"/>
    <mergeCell ref="J351:J354"/>
    <mergeCell ref="J359:J362"/>
    <mergeCell ref="J363:J366"/>
    <mergeCell ref="J367:J370"/>
    <mergeCell ref="J371:J374"/>
    <mergeCell ref="J375:J378"/>
    <mergeCell ref="J379:J382"/>
    <mergeCell ref="J395:J399"/>
    <mergeCell ref="J400:J404"/>
    <mergeCell ref="J405:J408"/>
    <mergeCell ref="J409:J412"/>
    <mergeCell ref="J413:J416"/>
    <mergeCell ref="J431:J434"/>
    <mergeCell ref="J436:J440"/>
    <mergeCell ref="J441:J445"/>
    <mergeCell ref="J446:J449"/>
    <mergeCell ref="J450:J453"/>
    <mergeCell ref="J457:J461"/>
    <mergeCell ref="J463:J467"/>
    <mergeCell ref="J469:J472"/>
    <mergeCell ref="J473:J476"/>
    <mergeCell ref="J477:J480"/>
    <mergeCell ref="J482:J485"/>
    <mergeCell ref="J508:J511"/>
    <mergeCell ref="J512:J515"/>
    <mergeCell ref="J517:J520"/>
    <mergeCell ref="J521:J524"/>
    <mergeCell ref="J526:J529"/>
    <mergeCell ref="J530:J533"/>
    <mergeCell ref="J535:J538"/>
    <mergeCell ref="J539:J542"/>
    <mergeCell ref="J544:J547"/>
    <mergeCell ref="J548:J551"/>
    <mergeCell ref="J553:J556"/>
    <mergeCell ref="J557:J560"/>
    <mergeCell ref="J562:J565"/>
    <mergeCell ref="J566:J569"/>
    <mergeCell ref="J571:J574"/>
    <mergeCell ref="J575:J578"/>
    <mergeCell ref="J580:J583"/>
    <mergeCell ref="J584:J587"/>
    <mergeCell ref="J588:J591"/>
    <mergeCell ref="J592:J595"/>
    <mergeCell ref="J641:J644"/>
    <mergeCell ref="J645:J649"/>
    <mergeCell ref="J650:J654"/>
    <mergeCell ref="J655:J659"/>
    <mergeCell ref="J664:J667"/>
    <mergeCell ref="J668:J671"/>
    <mergeCell ref="J674:J677"/>
    <mergeCell ref="J693:J696"/>
    <mergeCell ref="J697:J700"/>
    <mergeCell ref="J701:J704"/>
    <mergeCell ref="J705:J708"/>
    <mergeCell ref="J709:J712"/>
    <mergeCell ref="J713:J716"/>
    <mergeCell ref="J717:J720"/>
    <mergeCell ref="J721:J724"/>
    <mergeCell ref="J736:J740"/>
    <mergeCell ref="J741:J745"/>
    <mergeCell ref="J746:J749"/>
    <mergeCell ref="J750:J753"/>
    <mergeCell ref="J754:J757"/>
    <mergeCell ref="J770:J773"/>
    <mergeCell ref="J775:J779"/>
    <mergeCell ref="J780:J784"/>
    <mergeCell ref="J785:J788"/>
    <mergeCell ref="J789:J792"/>
    <mergeCell ref="J796:J800"/>
    <mergeCell ref="J802:J806"/>
    <mergeCell ref="J808:J811"/>
    <mergeCell ref="J812:J815"/>
    <mergeCell ref="J816:J819"/>
    <mergeCell ref="J821:J824"/>
    <mergeCell ref="J847:J850"/>
    <mergeCell ref="J851:J854"/>
    <mergeCell ref="J856:J859"/>
    <mergeCell ref="J860:J863"/>
    <mergeCell ref="J865:J868"/>
    <mergeCell ref="J869:J872"/>
    <mergeCell ref="J874:J877"/>
    <mergeCell ref="J878:J881"/>
    <mergeCell ref="J883:J886"/>
    <mergeCell ref="J887:J890"/>
    <mergeCell ref="J892:J895"/>
    <mergeCell ref="J896:J899"/>
    <mergeCell ref="J901:J904"/>
    <mergeCell ref="J905:J908"/>
    <mergeCell ref="J910:J913"/>
    <mergeCell ref="J914:J917"/>
    <mergeCell ref="J919:J922"/>
    <mergeCell ref="J923:J926"/>
    <mergeCell ref="J927:J930"/>
    <mergeCell ref="J931:J934"/>
    <mergeCell ref="J978:J981"/>
    <mergeCell ref="J982:J986"/>
    <mergeCell ref="J987:J991"/>
    <mergeCell ref="J992:J996"/>
    <mergeCell ref="J1001:J1004"/>
    <mergeCell ref="J1005:J1008"/>
    <mergeCell ref="J1011:J1014"/>
    <mergeCell ref="J1030:J1033"/>
    <mergeCell ref="J1034:J1037"/>
    <mergeCell ref="J1038:J1041"/>
    <mergeCell ref="J1042:J1045"/>
    <mergeCell ref="J1046:J1049"/>
    <mergeCell ref="J1050:J1053"/>
    <mergeCell ref="J1054:J1057"/>
    <mergeCell ref="J1058:J1061"/>
    <mergeCell ref="J1073:J1077"/>
    <mergeCell ref="J1078:J1082"/>
    <mergeCell ref="J1083:J1086"/>
    <mergeCell ref="J1087:J1090"/>
    <mergeCell ref="J1091:J1094"/>
    <mergeCell ref="J1107:J1110"/>
    <mergeCell ref="J1112:J1116"/>
    <mergeCell ref="J1117:J1121"/>
    <mergeCell ref="J1122:J1125"/>
    <mergeCell ref="J1126:J1129"/>
    <mergeCell ref="J1133:J1137"/>
    <mergeCell ref="J1139:J1143"/>
    <mergeCell ref="J1145:J1148"/>
    <mergeCell ref="J1149:J1152"/>
    <mergeCell ref="J1153:J1156"/>
    <mergeCell ref="J1158:J1161"/>
    <mergeCell ref="J1184:J1187"/>
    <mergeCell ref="J1188:J1191"/>
    <mergeCell ref="J1193:J1196"/>
    <mergeCell ref="J1197:J1200"/>
    <mergeCell ref="J1202:J1205"/>
    <mergeCell ref="J1206:J1209"/>
    <mergeCell ref="J1211:J1214"/>
    <mergeCell ref="J1215:J1218"/>
    <mergeCell ref="J1220:J1223"/>
    <mergeCell ref="J1224:J1227"/>
    <mergeCell ref="J1229:J1232"/>
    <mergeCell ref="J1233:J1236"/>
    <mergeCell ref="J1238:J1241"/>
    <mergeCell ref="J1242:J1245"/>
    <mergeCell ref="J1247:J1250"/>
    <mergeCell ref="J1251:J1254"/>
    <mergeCell ref="J1256:J1259"/>
    <mergeCell ref="J1260:J1263"/>
    <mergeCell ref="J1264:J1267"/>
    <mergeCell ref="J1268:J1271"/>
    <mergeCell ref="J1315:J1318"/>
    <mergeCell ref="J1319:J1323"/>
    <mergeCell ref="J1324:J1328"/>
    <mergeCell ref="J1329:J1333"/>
    <mergeCell ref="J1338:J1341"/>
    <mergeCell ref="J1342:J1345"/>
    <mergeCell ref="J1348:J1351"/>
    <mergeCell ref="J1367:J1370"/>
    <mergeCell ref="J1371:J1374"/>
    <mergeCell ref="J1375:J1378"/>
    <mergeCell ref="J1379:J1382"/>
    <mergeCell ref="J1383:J1386"/>
    <mergeCell ref="J1387:J1390"/>
    <mergeCell ref="J1391:J1394"/>
    <mergeCell ref="J1395:J1398"/>
    <mergeCell ref="J1410:J1414"/>
    <mergeCell ref="J1415:J1419"/>
    <mergeCell ref="J1420:J1423"/>
    <mergeCell ref="J1424:J1427"/>
    <mergeCell ref="J1428:J1431"/>
    <mergeCell ref="J1444:J1447"/>
    <mergeCell ref="J1449:J1453"/>
    <mergeCell ref="J1454:J1458"/>
    <mergeCell ref="J1459:J1462"/>
    <mergeCell ref="J1463:J1466"/>
    <mergeCell ref="J1470:J1474"/>
    <mergeCell ref="J1476:J1480"/>
    <mergeCell ref="J1482:J1485"/>
    <mergeCell ref="J1486:J1489"/>
    <mergeCell ref="J1490:J1493"/>
    <mergeCell ref="J1495:J1498"/>
    <mergeCell ref="J1521:J1524"/>
    <mergeCell ref="J1525:J1528"/>
    <mergeCell ref="J1530:J1533"/>
    <mergeCell ref="J1534:J1537"/>
    <mergeCell ref="J1539:J1542"/>
    <mergeCell ref="J1543:J1546"/>
    <mergeCell ref="J1548:J1551"/>
    <mergeCell ref="J1552:J1555"/>
    <mergeCell ref="J1557:J1560"/>
    <mergeCell ref="J1561:J1564"/>
    <mergeCell ref="J1566:J1569"/>
    <mergeCell ref="J1570:J1573"/>
    <mergeCell ref="J1575:J1578"/>
    <mergeCell ref="J1579:J1582"/>
    <mergeCell ref="J1584:J1587"/>
    <mergeCell ref="J1588:J1591"/>
    <mergeCell ref="J1593:J1596"/>
    <mergeCell ref="J1597:J1600"/>
    <mergeCell ref="J1601:J1604"/>
    <mergeCell ref="J1605:J1608"/>
    <mergeCell ref="J1652:J1655"/>
    <mergeCell ref="J1656:J1660"/>
    <mergeCell ref="J1661:J1665"/>
    <mergeCell ref="J1666:J1670"/>
    <mergeCell ref="J1675:J1678"/>
    <mergeCell ref="J1679:J1682"/>
    <mergeCell ref="J1685:J1688"/>
    <mergeCell ref="J1704:J1707"/>
    <mergeCell ref="J1708:J1711"/>
    <mergeCell ref="J1712:J1715"/>
    <mergeCell ref="J1716:J1719"/>
    <mergeCell ref="J1720:J1723"/>
    <mergeCell ref="J1724:J1727"/>
    <mergeCell ref="J1728:J1731"/>
    <mergeCell ref="J1732:J1735"/>
    <mergeCell ref="J1747:J1751"/>
    <mergeCell ref="J1752:J1756"/>
    <mergeCell ref="J1757:J1760"/>
    <mergeCell ref="J1761:J1764"/>
    <mergeCell ref="J1765:J1768"/>
    <mergeCell ref="J1781:J1784"/>
    <mergeCell ref="J1786:J1790"/>
    <mergeCell ref="J1791:J1795"/>
    <mergeCell ref="J1796:J1799"/>
    <mergeCell ref="J1800:J1803"/>
    <mergeCell ref="J1807:J1811"/>
    <mergeCell ref="J1813:J1817"/>
    <mergeCell ref="J1819:J1822"/>
    <mergeCell ref="J1823:J1826"/>
    <mergeCell ref="J1827:J1830"/>
    <mergeCell ref="J1832:J1835"/>
    <mergeCell ref="J1858:J1861"/>
    <mergeCell ref="J1862:J1865"/>
    <mergeCell ref="J1867:J1870"/>
    <mergeCell ref="J1871:J1874"/>
    <mergeCell ref="J1876:J1879"/>
    <mergeCell ref="J1880:J1883"/>
    <mergeCell ref="J1885:J1888"/>
    <mergeCell ref="J1889:J1892"/>
    <mergeCell ref="J1894:J1897"/>
    <mergeCell ref="J1898:J1901"/>
    <mergeCell ref="J1903:J1906"/>
    <mergeCell ref="J1907:J1910"/>
    <mergeCell ref="J1912:J1915"/>
    <mergeCell ref="J1916:J1919"/>
    <mergeCell ref="J1921:J1924"/>
    <mergeCell ref="J1925:J1928"/>
    <mergeCell ref="J1930:J1933"/>
    <mergeCell ref="J1934:J1937"/>
    <mergeCell ref="J1938:J1941"/>
    <mergeCell ref="J1942:J1945"/>
    <mergeCell ref="J1989:J1992"/>
    <mergeCell ref="J1993:J1997"/>
    <mergeCell ref="J1998:J2002"/>
    <mergeCell ref="J2003:J2007"/>
    <mergeCell ref="J2012:J2015"/>
    <mergeCell ref="J2016:J2019"/>
    <mergeCell ref="J2022:J2025"/>
    <mergeCell ref="J2041:J2044"/>
    <mergeCell ref="J2045:J2048"/>
    <mergeCell ref="J2049:J2052"/>
    <mergeCell ref="J2053:J2056"/>
    <mergeCell ref="J2057:J2060"/>
    <mergeCell ref="J2061:J2064"/>
    <mergeCell ref="J2065:J2068"/>
    <mergeCell ref="J2069:J2072"/>
    <mergeCell ref="J2084:J2088"/>
    <mergeCell ref="J2089:J2093"/>
    <mergeCell ref="J2094:J2097"/>
    <mergeCell ref="J2098:J2101"/>
    <mergeCell ref="J2102:J2105"/>
    <mergeCell ref="J2119:J2122"/>
    <mergeCell ref="J2124:J2128"/>
    <mergeCell ref="J2129:J2133"/>
    <mergeCell ref="J2134:J2137"/>
    <mergeCell ref="J2138:J2141"/>
    <mergeCell ref="J2145:J2149"/>
    <mergeCell ref="J2151:J2155"/>
    <mergeCell ref="J2157:J2160"/>
    <mergeCell ref="J2161:J2164"/>
    <mergeCell ref="J2165:J2168"/>
    <mergeCell ref="J2170:J2173"/>
    <mergeCell ref="J2196:J2199"/>
    <mergeCell ref="J2200:J2203"/>
    <mergeCell ref="J2205:J2208"/>
    <mergeCell ref="J2209:J2212"/>
    <mergeCell ref="J2214:J2217"/>
    <mergeCell ref="J2218:J2221"/>
    <mergeCell ref="J2223:J2226"/>
    <mergeCell ref="J2227:J2230"/>
    <mergeCell ref="J2232:J2235"/>
    <mergeCell ref="J2236:J2239"/>
    <mergeCell ref="J2241:J2244"/>
    <mergeCell ref="J2245:J2248"/>
    <mergeCell ref="J2250:J2253"/>
    <mergeCell ref="J2254:J2257"/>
    <mergeCell ref="J2259:J2262"/>
    <mergeCell ref="J2263:J2266"/>
    <mergeCell ref="J2268:J2271"/>
    <mergeCell ref="J2272:J2275"/>
    <mergeCell ref="J2276:J2279"/>
    <mergeCell ref="J2280:J2283"/>
    <mergeCell ref="J2327:J2330"/>
    <mergeCell ref="J2331:J2335"/>
    <mergeCell ref="J2336:J2340"/>
    <mergeCell ref="J2341:J2345"/>
    <mergeCell ref="J2350:J2353"/>
    <mergeCell ref="J2354:J2357"/>
    <mergeCell ref="J2360:J2363"/>
    <mergeCell ref="K10:K13"/>
    <mergeCell ref="K14:K17"/>
    <mergeCell ref="K18:K21"/>
    <mergeCell ref="K22:K25"/>
    <mergeCell ref="K26:K29"/>
    <mergeCell ref="K30:K33"/>
    <mergeCell ref="K34:K37"/>
    <mergeCell ref="K38:K41"/>
    <mergeCell ref="K53:K57"/>
    <mergeCell ref="K58:K62"/>
    <mergeCell ref="K63:K66"/>
    <mergeCell ref="K67:K70"/>
    <mergeCell ref="K71:K74"/>
    <mergeCell ref="K87:K90"/>
    <mergeCell ref="K92:K96"/>
    <mergeCell ref="K97:K101"/>
    <mergeCell ref="K102:K105"/>
    <mergeCell ref="K106:K109"/>
    <mergeCell ref="K113:K117"/>
    <mergeCell ref="K119:K123"/>
    <mergeCell ref="K125:K128"/>
    <mergeCell ref="K129:K132"/>
    <mergeCell ref="K133:K136"/>
    <mergeCell ref="K138:K141"/>
    <mergeCell ref="K164:K167"/>
    <mergeCell ref="K168:K171"/>
    <mergeCell ref="K173:K176"/>
    <mergeCell ref="K177:K180"/>
    <mergeCell ref="K182:K185"/>
    <mergeCell ref="K186:K189"/>
    <mergeCell ref="K191:K194"/>
    <mergeCell ref="K195:K198"/>
    <mergeCell ref="K200:K203"/>
    <mergeCell ref="K204:K207"/>
    <mergeCell ref="K209:K212"/>
    <mergeCell ref="K213:K216"/>
    <mergeCell ref="K218:K221"/>
    <mergeCell ref="K222:K225"/>
    <mergeCell ref="K227:K230"/>
    <mergeCell ref="K231:K234"/>
    <mergeCell ref="K236:K239"/>
    <mergeCell ref="K240:K243"/>
    <mergeCell ref="K244:K247"/>
    <mergeCell ref="K248:K251"/>
    <mergeCell ref="K295:K298"/>
    <mergeCell ref="K299:K303"/>
    <mergeCell ref="K304:K308"/>
    <mergeCell ref="K309:K313"/>
    <mergeCell ref="K318:K321"/>
    <mergeCell ref="K322:K325"/>
    <mergeCell ref="K328:K331"/>
    <mergeCell ref="K347:K350"/>
    <mergeCell ref="K351:K354"/>
    <mergeCell ref="K359:K362"/>
    <mergeCell ref="K363:K366"/>
    <mergeCell ref="K367:K370"/>
    <mergeCell ref="K371:K374"/>
    <mergeCell ref="K375:K378"/>
    <mergeCell ref="K379:K382"/>
    <mergeCell ref="K395:K399"/>
    <mergeCell ref="K400:K404"/>
    <mergeCell ref="K405:K408"/>
    <mergeCell ref="K409:K412"/>
    <mergeCell ref="K413:K416"/>
    <mergeCell ref="K431:K434"/>
    <mergeCell ref="K436:K440"/>
    <mergeCell ref="K441:K445"/>
    <mergeCell ref="K446:K449"/>
    <mergeCell ref="K450:K453"/>
    <mergeCell ref="K457:K461"/>
    <mergeCell ref="K463:K467"/>
    <mergeCell ref="K469:K472"/>
    <mergeCell ref="K473:K476"/>
    <mergeCell ref="K477:K480"/>
    <mergeCell ref="K482:K485"/>
    <mergeCell ref="K508:K511"/>
    <mergeCell ref="K512:K515"/>
    <mergeCell ref="K517:K520"/>
    <mergeCell ref="K521:K524"/>
    <mergeCell ref="K526:K529"/>
    <mergeCell ref="K530:K533"/>
    <mergeCell ref="K535:K538"/>
    <mergeCell ref="K539:K542"/>
    <mergeCell ref="K544:K547"/>
    <mergeCell ref="K548:K551"/>
    <mergeCell ref="K553:K556"/>
    <mergeCell ref="K557:K560"/>
    <mergeCell ref="K562:K565"/>
    <mergeCell ref="K566:K569"/>
    <mergeCell ref="K571:K574"/>
    <mergeCell ref="K575:K578"/>
    <mergeCell ref="K580:K583"/>
    <mergeCell ref="K584:K587"/>
    <mergeCell ref="K588:K591"/>
    <mergeCell ref="K592:K595"/>
    <mergeCell ref="K641:K644"/>
    <mergeCell ref="K645:K649"/>
    <mergeCell ref="K650:K654"/>
    <mergeCell ref="K655:K659"/>
    <mergeCell ref="K664:K667"/>
    <mergeCell ref="K668:K671"/>
    <mergeCell ref="K674:K677"/>
    <mergeCell ref="K693:K696"/>
    <mergeCell ref="K697:K700"/>
    <mergeCell ref="K701:K704"/>
    <mergeCell ref="K705:K708"/>
    <mergeCell ref="K709:K712"/>
    <mergeCell ref="K713:K716"/>
    <mergeCell ref="K717:K720"/>
    <mergeCell ref="K721:K724"/>
    <mergeCell ref="K736:K740"/>
    <mergeCell ref="K741:K745"/>
    <mergeCell ref="K746:K749"/>
    <mergeCell ref="K750:K753"/>
    <mergeCell ref="K754:K757"/>
    <mergeCell ref="K770:K773"/>
    <mergeCell ref="K775:K779"/>
    <mergeCell ref="K780:K784"/>
    <mergeCell ref="K785:K788"/>
    <mergeCell ref="K789:K792"/>
    <mergeCell ref="K796:K800"/>
    <mergeCell ref="K802:K806"/>
    <mergeCell ref="K808:K811"/>
    <mergeCell ref="K812:K815"/>
    <mergeCell ref="K816:K819"/>
    <mergeCell ref="K821:K824"/>
    <mergeCell ref="K847:K850"/>
    <mergeCell ref="K851:K854"/>
    <mergeCell ref="K856:K859"/>
    <mergeCell ref="K860:K863"/>
    <mergeCell ref="K865:K868"/>
    <mergeCell ref="K869:K872"/>
    <mergeCell ref="K874:K877"/>
    <mergeCell ref="K878:K881"/>
    <mergeCell ref="K883:K886"/>
    <mergeCell ref="K887:K890"/>
    <mergeCell ref="K892:K895"/>
    <mergeCell ref="K896:K899"/>
    <mergeCell ref="K901:K904"/>
    <mergeCell ref="K905:K908"/>
    <mergeCell ref="K910:K913"/>
    <mergeCell ref="K914:K917"/>
    <mergeCell ref="K919:K922"/>
    <mergeCell ref="K923:K926"/>
    <mergeCell ref="K927:K930"/>
    <mergeCell ref="K931:K934"/>
    <mergeCell ref="K978:K981"/>
    <mergeCell ref="K982:K986"/>
    <mergeCell ref="K987:K991"/>
    <mergeCell ref="K992:K996"/>
    <mergeCell ref="K1001:K1004"/>
    <mergeCell ref="K1005:K1008"/>
    <mergeCell ref="K1011:K1014"/>
    <mergeCell ref="K1030:K1033"/>
    <mergeCell ref="K1034:K1037"/>
    <mergeCell ref="K1038:K1041"/>
    <mergeCell ref="K1042:K1045"/>
    <mergeCell ref="K1046:K1049"/>
    <mergeCell ref="K1050:K1053"/>
    <mergeCell ref="K1054:K1057"/>
    <mergeCell ref="K1058:K1061"/>
    <mergeCell ref="K1073:K1077"/>
    <mergeCell ref="K1078:K1082"/>
    <mergeCell ref="K1083:K1086"/>
    <mergeCell ref="K1087:K1090"/>
    <mergeCell ref="K1091:K1094"/>
    <mergeCell ref="K1107:K1110"/>
    <mergeCell ref="K1112:K1116"/>
    <mergeCell ref="K1117:K1121"/>
    <mergeCell ref="K1122:K1125"/>
    <mergeCell ref="K1126:K1129"/>
    <mergeCell ref="K1133:K1137"/>
    <mergeCell ref="K1139:K1143"/>
    <mergeCell ref="K1145:K1148"/>
    <mergeCell ref="K1149:K1152"/>
    <mergeCell ref="K1153:K1156"/>
    <mergeCell ref="K1158:K1161"/>
    <mergeCell ref="K1184:K1187"/>
    <mergeCell ref="K1188:K1191"/>
    <mergeCell ref="K1193:K1196"/>
    <mergeCell ref="K1197:K1200"/>
    <mergeCell ref="K1202:K1205"/>
    <mergeCell ref="K1206:K1209"/>
    <mergeCell ref="K1211:K1214"/>
    <mergeCell ref="K1215:K1218"/>
    <mergeCell ref="K1220:K1223"/>
    <mergeCell ref="K1224:K1227"/>
    <mergeCell ref="K1229:K1232"/>
    <mergeCell ref="K1233:K1236"/>
    <mergeCell ref="K1238:K1241"/>
    <mergeCell ref="K1242:K1245"/>
    <mergeCell ref="K1247:K1250"/>
    <mergeCell ref="K1251:K1254"/>
    <mergeCell ref="K1256:K1259"/>
    <mergeCell ref="K1260:K1263"/>
    <mergeCell ref="K1264:K1267"/>
    <mergeCell ref="K1268:K1271"/>
    <mergeCell ref="K1315:K1318"/>
    <mergeCell ref="K1319:K1323"/>
    <mergeCell ref="K1324:K1328"/>
    <mergeCell ref="K1329:K1333"/>
    <mergeCell ref="K1338:K1341"/>
    <mergeCell ref="K1342:K1345"/>
    <mergeCell ref="K1348:K1351"/>
    <mergeCell ref="K1367:K1370"/>
    <mergeCell ref="K1371:K1374"/>
    <mergeCell ref="K1375:K1378"/>
    <mergeCell ref="K1379:K1382"/>
    <mergeCell ref="K1383:K1386"/>
    <mergeCell ref="K1387:K1390"/>
    <mergeCell ref="K1391:K1394"/>
    <mergeCell ref="K1395:K1398"/>
    <mergeCell ref="K1410:K1414"/>
    <mergeCell ref="K1415:K1419"/>
    <mergeCell ref="K1420:K1423"/>
    <mergeCell ref="K1424:K1427"/>
    <mergeCell ref="K1428:K1431"/>
    <mergeCell ref="K1444:K1447"/>
    <mergeCell ref="K1449:K1453"/>
    <mergeCell ref="K1454:K1458"/>
    <mergeCell ref="K1459:K1462"/>
    <mergeCell ref="K1463:K1466"/>
    <mergeCell ref="K1470:K1474"/>
    <mergeCell ref="K1476:K1480"/>
    <mergeCell ref="K1482:K1485"/>
    <mergeCell ref="K1486:K1489"/>
    <mergeCell ref="K1490:K1493"/>
    <mergeCell ref="K1495:K1498"/>
    <mergeCell ref="K1521:K1524"/>
    <mergeCell ref="K1525:K1528"/>
    <mergeCell ref="K1530:K1533"/>
    <mergeCell ref="K1534:K1537"/>
    <mergeCell ref="K1539:K1542"/>
    <mergeCell ref="K1543:K1546"/>
    <mergeCell ref="K1548:K1551"/>
    <mergeCell ref="K1552:K1555"/>
    <mergeCell ref="K1557:K1560"/>
    <mergeCell ref="K1561:K1564"/>
    <mergeCell ref="K1566:K1569"/>
    <mergeCell ref="K1570:K1573"/>
    <mergeCell ref="K1575:K1578"/>
    <mergeCell ref="K1579:K1582"/>
    <mergeCell ref="K1584:K1587"/>
    <mergeCell ref="K1588:K1591"/>
    <mergeCell ref="K1593:K1596"/>
    <mergeCell ref="K1597:K1600"/>
    <mergeCell ref="K1601:K1604"/>
    <mergeCell ref="K1605:K1608"/>
    <mergeCell ref="K1652:K1655"/>
    <mergeCell ref="K1656:K1660"/>
    <mergeCell ref="K1661:K1665"/>
    <mergeCell ref="K1666:K1670"/>
    <mergeCell ref="K1675:K1678"/>
    <mergeCell ref="K1679:K1682"/>
    <mergeCell ref="K1685:K1688"/>
    <mergeCell ref="K1704:K1707"/>
    <mergeCell ref="K1708:K1711"/>
    <mergeCell ref="K1712:K1715"/>
    <mergeCell ref="K1716:K1719"/>
    <mergeCell ref="K1720:K1723"/>
    <mergeCell ref="K1724:K1727"/>
    <mergeCell ref="K1728:K1731"/>
    <mergeCell ref="K1732:K1735"/>
    <mergeCell ref="K1747:K1751"/>
    <mergeCell ref="K1752:K1756"/>
    <mergeCell ref="K1757:K1760"/>
    <mergeCell ref="K1761:K1764"/>
    <mergeCell ref="K1765:K1768"/>
    <mergeCell ref="K1781:K1784"/>
    <mergeCell ref="K1786:K1790"/>
    <mergeCell ref="K1791:K1795"/>
    <mergeCell ref="K1796:K1799"/>
    <mergeCell ref="K1800:K1803"/>
    <mergeCell ref="K1807:K1811"/>
    <mergeCell ref="K1813:K1817"/>
    <mergeCell ref="K1819:K1822"/>
    <mergeCell ref="K1823:K1826"/>
    <mergeCell ref="K1827:K1830"/>
    <mergeCell ref="K1832:K1835"/>
    <mergeCell ref="K1858:K1861"/>
    <mergeCell ref="K1862:K1865"/>
    <mergeCell ref="K1867:K1870"/>
    <mergeCell ref="K1871:K1874"/>
    <mergeCell ref="K1876:K1879"/>
    <mergeCell ref="K1880:K1883"/>
    <mergeCell ref="K1885:K1888"/>
    <mergeCell ref="K1889:K1892"/>
    <mergeCell ref="K1894:K1897"/>
    <mergeCell ref="K1898:K1901"/>
    <mergeCell ref="K1903:K1906"/>
    <mergeCell ref="K1907:K1910"/>
    <mergeCell ref="K1912:K1915"/>
    <mergeCell ref="K1916:K1919"/>
    <mergeCell ref="K1921:K1924"/>
    <mergeCell ref="K1925:K1928"/>
    <mergeCell ref="K1930:K1933"/>
    <mergeCell ref="K1934:K1937"/>
    <mergeCell ref="K1938:K1941"/>
    <mergeCell ref="K1942:K1945"/>
    <mergeCell ref="K1989:K1992"/>
    <mergeCell ref="K1993:K1997"/>
    <mergeCell ref="K1998:K2002"/>
    <mergeCell ref="K2003:K2007"/>
    <mergeCell ref="K2012:K2015"/>
    <mergeCell ref="K2016:K2019"/>
    <mergeCell ref="K2022:K2025"/>
    <mergeCell ref="K2041:K2044"/>
    <mergeCell ref="K2045:K2048"/>
    <mergeCell ref="K2049:K2052"/>
    <mergeCell ref="K2053:K2056"/>
    <mergeCell ref="K2057:K2060"/>
    <mergeCell ref="K2061:K2064"/>
    <mergeCell ref="K2065:K2068"/>
    <mergeCell ref="K2069:K2072"/>
    <mergeCell ref="K2084:K2088"/>
    <mergeCell ref="K2089:K2093"/>
    <mergeCell ref="K2094:K2097"/>
    <mergeCell ref="K2098:K2101"/>
    <mergeCell ref="K2102:K2105"/>
    <mergeCell ref="K2119:K2122"/>
    <mergeCell ref="K2124:K2128"/>
    <mergeCell ref="K2129:K2133"/>
    <mergeCell ref="K2134:K2137"/>
    <mergeCell ref="K2138:K2141"/>
    <mergeCell ref="K2145:K2149"/>
    <mergeCell ref="K2151:K2155"/>
    <mergeCell ref="K2157:K2160"/>
    <mergeCell ref="K2161:K2164"/>
    <mergeCell ref="K2165:K2168"/>
    <mergeCell ref="K2170:K2173"/>
    <mergeCell ref="K2196:K2199"/>
    <mergeCell ref="K2200:K2203"/>
    <mergeCell ref="K2205:K2208"/>
    <mergeCell ref="K2209:K2212"/>
    <mergeCell ref="K2214:K2217"/>
    <mergeCell ref="K2218:K2221"/>
    <mergeCell ref="K2223:K2226"/>
    <mergeCell ref="K2227:K2230"/>
    <mergeCell ref="K2232:K2235"/>
    <mergeCell ref="K2236:K2239"/>
    <mergeCell ref="K2241:K2244"/>
    <mergeCell ref="K2245:K2248"/>
    <mergeCell ref="K2250:K2253"/>
    <mergeCell ref="K2254:K2257"/>
    <mergeCell ref="K2259:K2262"/>
    <mergeCell ref="K2263:K2266"/>
    <mergeCell ref="K2268:K2271"/>
    <mergeCell ref="K2272:K2275"/>
    <mergeCell ref="K2276:K2279"/>
    <mergeCell ref="K2280:K2283"/>
    <mergeCell ref="K2327:K2330"/>
    <mergeCell ref="K2331:K2335"/>
    <mergeCell ref="K2336:K2340"/>
    <mergeCell ref="K2341:K2345"/>
    <mergeCell ref="K2350:K2353"/>
    <mergeCell ref="K2354:K2357"/>
    <mergeCell ref="K2360:K2363"/>
    <mergeCell ref="L10:L13"/>
    <mergeCell ref="L14:L17"/>
    <mergeCell ref="L18:L21"/>
    <mergeCell ref="L22:L25"/>
    <mergeCell ref="L26:L29"/>
    <mergeCell ref="L30:L33"/>
    <mergeCell ref="L34:L37"/>
    <mergeCell ref="L38:L41"/>
    <mergeCell ref="L53:L57"/>
    <mergeCell ref="L58:L62"/>
    <mergeCell ref="L63:L66"/>
    <mergeCell ref="L67:L70"/>
    <mergeCell ref="L71:L74"/>
    <mergeCell ref="L87:L90"/>
    <mergeCell ref="L92:L96"/>
    <mergeCell ref="L97:L101"/>
    <mergeCell ref="L102:L105"/>
    <mergeCell ref="L106:L109"/>
    <mergeCell ref="L113:L117"/>
    <mergeCell ref="L119:L123"/>
    <mergeCell ref="L125:L128"/>
    <mergeCell ref="L129:L132"/>
    <mergeCell ref="L133:L136"/>
    <mergeCell ref="L138:L141"/>
    <mergeCell ref="L164:L167"/>
    <mergeCell ref="L168:L171"/>
    <mergeCell ref="L173:L176"/>
    <mergeCell ref="L177:L180"/>
    <mergeCell ref="L182:L185"/>
    <mergeCell ref="L186:L189"/>
    <mergeCell ref="L191:L194"/>
    <mergeCell ref="L195:L198"/>
    <mergeCell ref="L200:L203"/>
    <mergeCell ref="L204:L207"/>
    <mergeCell ref="L209:L212"/>
    <mergeCell ref="L213:L216"/>
    <mergeCell ref="L218:L221"/>
    <mergeCell ref="L222:L225"/>
    <mergeCell ref="L227:L230"/>
    <mergeCell ref="L231:L234"/>
    <mergeCell ref="L236:L239"/>
    <mergeCell ref="L240:L243"/>
    <mergeCell ref="L244:L247"/>
    <mergeCell ref="L248:L251"/>
    <mergeCell ref="L295:L298"/>
    <mergeCell ref="L299:L303"/>
    <mergeCell ref="L304:L308"/>
    <mergeCell ref="L309:L313"/>
    <mergeCell ref="L318:L321"/>
    <mergeCell ref="L322:L325"/>
    <mergeCell ref="L328:L331"/>
    <mergeCell ref="L347:L350"/>
    <mergeCell ref="L351:L354"/>
    <mergeCell ref="L359:L362"/>
    <mergeCell ref="L363:L366"/>
    <mergeCell ref="L367:L370"/>
    <mergeCell ref="L371:L374"/>
    <mergeCell ref="L375:L378"/>
    <mergeCell ref="L379:L382"/>
    <mergeCell ref="L395:L399"/>
    <mergeCell ref="L400:L404"/>
    <mergeCell ref="L405:L408"/>
    <mergeCell ref="L409:L412"/>
    <mergeCell ref="L413:L416"/>
    <mergeCell ref="L431:L434"/>
    <mergeCell ref="L436:L440"/>
    <mergeCell ref="L441:L445"/>
    <mergeCell ref="L446:L449"/>
    <mergeCell ref="L450:L453"/>
    <mergeCell ref="L457:L461"/>
    <mergeCell ref="L463:L467"/>
    <mergeCell ref="L469:L472"/>
    <mergeCell ref="L473:L476"/>
    <mergeCell ref="L477:L480"/>
    <mergeCell ref="L482:L485"/>
    <mergeCell ref="L508:L511"/>
    <mergeCell ref="L512:L515"/>
    <mergeCell ref="L517:L520"/>
    <mergeCell ref="L521:L524"/>
    <mergeCell ref="L526:L529"/>
    <mergeCell ref="L530:L533"/>
    <mergeCell ref="L535:L538"/>
    <mergeCell ref="L539:L542"/>
    <mergeCell ref="L544:L547"/>
    <mergeCell ref="L548:L551"/>
    <mergeCell ref="L553:L556"/>
    <mergeCell ref="L557:L560"/>
    <mergeCell ref="L562:L565"/>
    <mergeCell ref="L566:L569"/>
    <mergeCell ref="L571:L574"/>
    <mergeCell ref="L575:L578"/>
    <mergeCell ref="L580:L583"/>
    <mergeCell ref="L584:L587"/>
    <mergeCell ref="L588:L591"/>
    <mergeCell ref="L592:L595"/>
    <mergeCell ref="L641:L644"/>
    <mergeCell ref="L645:L649"/>
    <mergeCell ref="L650:L654"/>
    <mergeCell ref="L655:L659"/>
    <mergeCell ref="L664:L667"/>
    <mergeCell ref="L668:L671"/>
    <mergeCell ref="L674:L677"/>
    <mergeCell ref="L693:L696"/>
    <mergeCell ref="L697:L700"/>
    <mergeCell ref="L701:L704"/>
    <mergeCell ref="L705:L708"/>
    <mergeCell ref="L709:L712"/>
    <mergeCell ref="L713:L716"/>
    <mergeCell ref="L717:L720"/>
    <mergeCell ref="L721:L724"/>
    <mergeCell ref="L736:L740"/>
    <mergeCell ref="L741:L745"/>
    <mergeCell ref="L746:L749"/>
    <mergeCell ref="L750:L753"/>
    <mergeCell ref="L754:L757"/>
    <mergeCell ref="L770:L773"/>
    <mergeCell ref="L775:L779"/>
    <mergeCell ref="L780:L784"/>
    <mergeCell ref="L785:L788"/>
    <mergeCell ref="L789:L792"/>
    <mergeCell ref="L796:L800"/>
    <mergeCell ref="L802:L806"/>
    <mergeCell ref="L808:L811"/>
    <mergeCell ref="L812:L815"/>
    <mergeCell ref="L816:L819"/>
    <mergeCell ref="L821:L824"/>
    <mergeCell ref="L847:L850"/>
    <mergeCell ref="L851:L854"/>
    <mergeCell ref="L856:L859"/>
    <mergeCell ref="L860:L863"/>
    <mergeCell ref="L865:L868"/>
    <mergeCell ref="L869:L872"/>
    <mergeCell ref="L874:L877"/>
    <mergeCell ref="L878:L881"/>
    <mergeCell ref="L883:L886"/>
    <mergeCell ref="L887:L890"/>
    <mergeCell ref="L892:L895"/>
    <mergeCell ref="L896:L899"/>
    <mergeCell ref="L901:L904"/>
    <mergeCell ref="L905:L908"/>
    <mergeCell ref="L910:L913"/>
    <mergeCell ref="L914:L917"/>
    <mergeCell ref="L919:L922"/>
    <mergeCell ref="L923:L926"/>
    <mergeCell ref="L927:L930"/>
    <mergeCell ref="L931:L934"/>
    <mergeCell ref="L978:L981"/>
    <mergeCell ref="L982:L986"/>
    <mergeCell ref="L987:L991"/>
    <mergeCell ref="L992:L996"/>
    <mergeCell ref="L1001:L1004"/>
    <mergeCell ref="L1005:L1008"/>
    <mergeCell ref="L1011:L1014"/>
    <mergeCell ref="L1030:L1033"/>
    <mergeCell ref="L1034:L1037"/>
    <mergeCell ref="L1038:L1041"/>
    <mergeCell ref="L1042:L1045"/>
    <mergeCell ref="L1046:L1049"/>
    <mergeCell ref="L1050:L1053"/>
    <mergeCell ref="L1054:L1057"/>
    <mergeCell ref="L1058:L1061"/>
    <mergeCell ref="L1073:L1077"/>
    <mergeCell ref="L1078:L1082"/>
    <mergeCell ref="L1083:L1086"/>
    <mergeCell ref="L1087:L1090"/>
    <mergeCell ref="L1091:L1094"/>
    <mergeCell ref="L1107:L1110"/>
    <mergeCell ref="L1112:L1116"/>
    <mergeCell ref="L1117:L1121"/>
    <mergeCell ref="L1122:L1125"/>
    <mergeCell ref="L1126:L1129"/>
    <mergeCell ref="L1133:L1137"/>
    <mergeCell ref="L1139:L1143"/>
    <mergeCell ref="L1145:L1148"/>
    <mergeCell ref="L1149:L1152"/>
    <mergeCell ref="L1153:L1156"/>
    <mergeCell ref="L1158:L1161"/>
    <mergeCell ref="L1184:L1187"/>
    <mergeCell ref="L1188:L1191"/>
    <mergeCell ref="L1193:L1196"/>
    <mergeCell ref="L1197:L1200"/>
    <mergeCell ref="L1202:L1205"/>
    <mergeCell ref="L1206:L1209"/>
    <mergeCell ref="L1211:L1214"/>
    <mergeCell ref="L1215:L1218"/>
    <mergeCell ref="L1220:L1223"/>
    <mergeCell ref="L1224:L1227"/>
    <mergeCell ref="L1229:L1232"/>
    <mergeCell ref="L1233:L1236"/>
    <mergeCell ref="L1238:L1241"/>
    <mergeCell ref="L1242:L1245"/>
    <mergeCell ref="L1247:L1250"/>
    <mergeCell ref="L1251:L1254"/>
    <mergeCell ref="L1256:L1259"/>
    <mergeCell ref="L1260:L1263"/>
    <mergeCell ref="L1264:L1267"/>
    <mergeCell ref="L1268:L1271"/>
    <mergeCell ref="L1315:L1318"/>
    <mergeCell ref="L1319:L1323"/>
    <mergeCell ref="L1324:L1328"/>
    <mergeCell ref="L1329:L1333"/>
    <mergeCell ref="L1338:L1341"/>
    <mergeCell ref="L1342:L1345"/>
    <mergeCell ref="L1348:L1351"/>
    <mergeCell ref="L1367:L1370"/>
    <mergeCell ref="L1371:L1374"/>
    <mergeCell ref="L1375:L1378"/>
    <mergeCell ref="L1379:L1382"/>
    <mergeCell ref="L1383:L1386"/>
    <mergeCell ref="L1387:L1390"/>
    <mergeCell ref="L1391:L1394"/>
    <mergeCell ref="L1395:L1398"/>
    <mergeCell ref="L1410:L1414"/>
    <mergeCell ref="L1415:L1419"/>
    <mergeCell ref="L1420:L1423"/>
    <mergeCell ref="L1424:L1427"/>
    <mergeCell ref="L1428:L1431"/>
    <mergeCell ref="L1444:L1447"/>
    <mergeCell ref="L1449:L1453"/>
    <mergeCell ref="L1454:L1458"/>
    <mergeCell ref="L1459:L1462"/>
    <mergeCell ref="L1463:L1466"/>
    <mergeCell ref="L1470:L1474"/>
    <mergeCell ref="L1476:L1480"/>
    <mergeCell ref="L1482:L1485"/>
    <mergeCell ref="L1486:L1489"/>
    <mergeCell ref="L1490:L1493"/>
    <mergeCell ref="L1495:L1498"/>
    <mergeCell ref="L1521:L1524"/>
    <mergeCell ref="L1525:L1528"/>
    <mergeCell ref="L1530:L1533"/>
    <mergeCell ref="L1534:L1537"/>
    <mergeCell ref="L1539:L1542"/>
    <mergeCell ref="L1543:L1546"/>
    <mergeCell ref="L1548:L1551"/>
    <mergeCell ref="L1552:L1555"/>
    <mergeCell ref="L1557:L1560"/>
    <mergeCell ref="L1561:L1564"/>
    <mergeCell ref="L1566:L1569"/>
    <mergeCell ref="L1570:L1573"/>
    <mergeCell ref="L1575:L1578"/>
    <mergeCell ref="L1579:L1582"/>
    <mergeCell ref="L1584:L1587"/>
    <mergeCell ref="L1588:L1591"/>
    <mergeCell ref="L1593:L1596"/>
    <mergeCell ref="L1597:L1600"/>
    <mergeCell ref="L1601:L1604"/>
    <mergeCell ref="L1605:L1608"/>
    <mergeCell ref="L1652:L1655"/>
    <mergeCell ref="L1656:L1660"/>
    <mergeCell ref="L1661:L1665"/>
    <mergeCell ref="L1666:L1670"/>
    <mergeCell ref="L1675:L1678"/>
    <mergeCell ref="L1679:L1682"/>
    <mergeCell ref="L1685:L1688"/>
    <mergeCell ref="L1704:L1707"/>
    <mergeCell ref="L1708:L1711"/>
    <mergeCell ref="L1712:L1715"/>
    <mergeCell ref="L1716:L1719"/>
    <mergeCell ref="L1720:L1723"/>
    <mergeCell ref="L1724:L1727"/>
    <mergeCell ref="L1728:L1731"/>
    <mergeCell ref="L1732:L1735"/>
    <mergeCell ref="L1747:L1751"/>
    <mergeCell ref="L1752:L1756"/>
    <mergeCell ref="L1757:L1760"/>
    <mergeCell ref="L1761:L1764"/>
    <mergeCell ref="L1765:L1768"/>
    <mergeCell ref="L1781:L1784"/>
    <mergeCell ref="L1786:L1790"/>
    <mergeCell ref="L1791:L1795"/>
    <mergeCell ref="L1796:L1799"/>
    <mergeCell ref="L1800:L1803"/>
    <mergeCell ref="L1807:L1811"/>
    <mergeCell ref="L1813:L1817"/>
    <mergeCell ref="L1819:L1822"/>
    <mergeCell ref="L1823:L1826"/>
    <mergeCell ref="L1827:L1830"/>
    <mergeCell ref="L1832:L1835"/>
    <mergeCell ref="L1858:L1861"/>
    <mergeCell ref="L1862:L1865"/>
    <mergeCell ref="L1867:L1870"/>
    <mergeCell ref="L1871:L1874"/>
    <mergeCell ref="L1876:L1879"/>
    <mergeCell ref="L1880:L1883"/>
    <mergeCell ref="L1885:L1888"/>
    <mergeCell ref="L1889:L1892"/>
    <mergeCell ref="L1894:L1897"/>
    <mergeCell ref="L1898:L1901"/>
    <mergeCell ref="L1903:L1906"/>
    <mergeCell ref="L1907:L1910"/>
    <mergeCell ref="L1912:L1915"/>
    <mergeCell ref="L1916:L1919"/>
    <mergeCell ref="L1921:L1924"/>
    <mergeCell ref="L1925:L1928"/>
    <mergeCell ref="L1930:L1933"/>
    <mergeCell ref="L1934:L1937"/>
    <mergeCell ref="L1938:L1941"/>
    <mergeCell ref="L1942:L1945"/>
    <mergeCell ref="L1989:L1992"/>
    <mergeCell ref="L1993:L1997"/>
    <mergeCell ref="L1998:L2002"/>
    <mergeCell ref="L2003:L2007"/>
    <mergeCell ref="L2012:L2015"/>
    <mergeCell ref="L2016:L2019"/>
    <mergeCell ref="L2022:L2025"/>
    <mergeCell ref="L2041:L2044"/>
    <mergeCell ref="L2045:L2048"/>
    <mergeCell ref="L2049:L2052"/>
    <mergeCell ref="L2053:L2056"/>
    <mergeCell ref="L2057:L2060"/>
    <mergeCell ref="L2061:L2064"/>
    <mergeCell ref="L2065:L2068"/>
    <mergeCell ref="L2069:L2072"/>
    <mergeCell ref="L2084:L2088"/>
    <mergeCell ref="L2089:L2093"/>
    <mergeCell ref="L2094:L2097"/>
    <mergeCell ref="L2098:L2101"/>
    <mergeCell ref="L2102:L2105"/>
    <mergeCell ref="L2119:L2122"/>
    <mergeCell ref="L2124:L2128"/>
    <mergeCell ref="L2129:L2133"/>
    <mergeCell ref="L2134:L2137"/>
    <mergeCell ref="L2138:L2141"/>
    <mergeCell ref="L2145:L2149"/>
    <mergeCell ref="L2151:L2155"/>
    <mergeCell ref="L2157:L2160"/>
    <mergeCell ref="L2161:L2164"/>
    <mergeCell ref="L2165:L2168"/>
    <mergeCell ref="L2170:L2173"/>
    <mergeCell ref="L2196:L2199"/>
    <mergeCell ref="L2200:L2203"/>
    <mergeCell ref="L2205:L2208"/>
    <mergeCell ref="L2209:L2212"/>
    <mergeCell ref="L2214:L2217"/>
    <mergeCell ref="L2218:L2221"/>
    <mergeCell ref="L2223:L2226"/>
    <mergeCell ref="L2227:L2230"/>
    <mergeCell ref="L2232:L2235"/>
    <mergeCell ref="L2236:L2239"/>
    <mergeCell ref="L2241:L2244"/>
    <mergeCell ref="L2245:L2248"/>
    <mergeCell ref="L2250:L2253"/>
    <mergeCell ref="L2254:L2257"/>
    <mergeCell ref="L2259:L2262"/>
    <mergeCell ref="L2263:L2266"/>
    <mergeCell ref="L2268:L2271"/>
    <mergeCell ref="L2272:L2275"/>
    <mergeCell ref="L2276:L2279"/>
    <mergeCell ref="L2280:L2283"/>
    <mergeCell ref="L2327:L2330"/>
    <mergeCell ref="L2331:L2335"/>
    <mergeCell ref="L2336:L2340"/>
    <mergeCell ref="L2341:L2345"/>
    <mergeCell ref="L2350:L2353"/>
    <mergeCell ref="L2354:L2357"/>
    <mergeCell ref="L2360:L2363"/>
  </mergeCells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AI47"/>
  <sheetViews>
    <sheetView topLeftCell="H16" workbookViewId="0">
      <selection activeCell="K40" sqref="K40:L43"/>
    </sheetView>
  </sheetViews>
  <sheetFormatPr defaultColWidth="9" defaultRowHeight="13.5" customHeight="1"/>
  <cols>
    <col min="1" max="1" width="11.25" style="1" customWidth="1"/>
    <col min="2" max="2" width="7.625" style="2" customWidth="1"/>
    <col min="3" max="6" width="9.625" style="3" customWidth="1"/>
    <col min="7" max="8" width="8.625" style="4" customWidth="1"/>
    <col min="9" max="9" width="20.125" style="5" customWidth="1"/>
    <col min="10" max="10" width="58.875" style="4" customWidth="1"/>
    <col min="11" max="11" width="15.125" style="4" customWidth="1"/>
    <col min="12" max="12" width="9" style="3"/>
    <col min="13" max="13" width="3.625" style="6" customWidth="1"/>
    <col min="14" max="16384" width="9" style="4"/>
  </cols>
  <sheetData>
    <row r="1" customHeight="1" spans="1:14">
      <c r="A1" s="7" t="s">
        <v>109</v>
      </c>
      <c r="B1" s="8" t="s">
        <v>27</v>
      </c>
      <c r="C1" s="9" t="s">
        <v>545</v>
      </c>
      <c r="N1" s="19" t="s">
        <v>1</v>
      </c>
    </row>
    <row r="2" customHeight="1" spans="1:14">
      <c r="A2" s="10" t="s">
        <v>2</v>
      </c>
      <c r="B2" s="11"/>
      <c r="C2" s="12" t="s">
        <v>3</v>
      </c>
      <c r="D2" s="12"/>
      <c r="E2" s="12"/>
      <c r="F2" s="12"/>
      <c r="G2" s="13" t="s">
        <v>4</v>
      </c>
      <c r="H2" s="13"/>
      <c r="I2" s="20" t="s">
        <v>5</v>
      </c>
      <c r="J2" s="13" t="s">
        <v>6</v>
      </c>
      <c r="K2" s="13" t="s">
        <v>7</v>
      </c>
      <c r="L2" s="21" t="s">
        <v>8</v>
      </c>
      <c r="N2" s="4" t="str">
        <f>TO_HTML_TABLE(A2:L2)</f>
        <v>&lt;tr&gt;&lt;td colspan="2"&gt;Offset&lt;/td&gt;&lt;td colspan="4"&gt;HEX&lt;/td&gt;&lt;td colspan="2"&gt;Type&lt;/td&gt;&lt;td&gt;Name&lt;/td&gt;&lt;td&gt;Description&lt;/td&gt;&lt;td&gt;Bound&lt;/td&gt;&lt;td&gt;ToMax&lt;/td&gt;&lt;/tr&gt;</v>
      </c>
    </row>
    <row r="3" customHeight="1" spans="1:12">
      <c r="A3" s="14" t="str">
        <f>"0x"&amp;DEC2HEX(B3,8)</f>
        <v>0x00000000</v>
      </c>
      <c r="B3" s="15">
        <f>0</f>
        <v>0</v>
      </c>
      <c r="C3" s="16" t="s">
        <v>546</v>
      </c>
      <c r="D3" s="16"/>
      <c r="E3" s="16"/>
      <c r="F3" s="16"/>
      <c r="G3" s="28" t="s">
        <v>388</v>
      </c>
      <c r="H3" s="18"/>
      <c r="I3" s="24" t="s">
        <v>547</v>
      </c>
      <c r="J3" s="18"/>
      <c r="K3" s="18" t="s">
        <v>548</v>
      </c>
      <c r="L3" s="25"/>
    </row>
    <row r="4" customHeight="1" spans="1:12">
      <c r="A4" s="14" t="str">
        <f>"0x"&amp;DEC2HEX(B4,8)</f>
        <v>0x00000002</v>
      </c>
      <c r="B4" s="15">
        <f>SUM_HEX(C3:F3,B3,3)</f>
        <v>2</v>
      </c>
      <c r="C4" s="16" t="s">
        <v>549</v>
      </c>
      <c r="D4" s="16"/>
      <c r="E4" s="16"/>
      <c r="F4" s="16"/>
      <c r="G4" s="28" t="s">
        <v>388</v>
      </c>
      <c r="H4" s="18"/>
      <c r="I4" s="24" t="s">
        <v>279</v>
      </c>
      <c r="J4" s="18"/>
      <c r="K4" s="18" t="s">
        <v>21</v>
      </c>
      <c r="L4" s="25" t="s">
        <v>280</v>
      </c>
    </row>
    <row r="5" customHeight="1" spans="1:12">
      <c r="A5" s="14" t="str">
        <f>"0x"&amp;DEC2HEX(B5,8)</f>
        <v>0x00000004</v>
      </c>
      <c r="B5" s="15">
        <f>SUM_HEX(C4:F4,B4,3)</f>
        <v>4</v>
      </c>
      <c r="C5" s="42" t="s">
        <v>240</v>
      </c>
      <c r="D5" s="42"/>
      <c r="E5" s="42"/>
      <c r="F5" s="16"/>
      <c r="G5" s="33" t="s">
        <v>33</v>
      </c>
      <c r="H5" s="18" t="s">
        <v>54</v>
      </c>
      <c r="I5" s="34" t="s">
        <v>550</v>
      </c>
      <c r="J5" s="24" t="s">
        <v>551</v>
      </c>
      <c r="K5" s="18"/>
      <c r="L5" s="25"/>
    </row>
    <row r="6" customHeight="1" spans="1:12">
      <c r="A6" s="14"/>
      <c r="B6" s="15"/>
      <c r="C6" s="43"/>
      <c r="D6" s="43"/>
      <c r="E6" s="43"/>
      <c r="F6" s="16"/>
      <c r="G6" s="35"/>
      <c r="H6" s="18" t="s">
        <v>57</v>
      </c>
      <c r="I6" s="36"/>
      <c r="J6" s="24" t="s">
        <v>231</v>
      </c>
      <c r="K6" s="18"/>
      <c r="L6" s="25"/>
    </row>
    <row r="7" customHeight="1" spans="1:12">
      <c r="A7" s="14"/>
      <c r="B7" s="15"/>
      <c r="C7" s="43"/>
      <c r="D7" s="43"/>
      <c r="E7" s="43"/>
      <c r="F7" s="16"/>
      <c r="G7" s="35"/>
      <c r="H7" s="18" t="s">
        <v>58</v>
      </c>
      <c r="I7" s="36"/>
      <c r="J7" s="24" t="s">
        <v>552</v>
      </c>
      <c r="K7" s="18"/>
      <c r="L7" s="25"/>
    </row>
    <row r="8" customHeight="1" spans="1:12">
      <c r="A8" s="14"/>
      <c r="B8" s="15"/>
      <c r="C8" s="43"/>
      <c r="D8" s="43"/>
      <c r="E8" s="43"/>
      <c r="F8" s="16"/>
      <c r="G8" s="35"/>
      <c r="H8" s="18" t="s">
        <v>59</v>
      </c>
      <c r="I8" s="36"/>
      <c r="J8" s="24" t="s">
        <v>553</v>
      </c>
      <c r="K8" s="18"/>
      <c r="L8" s="25"/>
    </row>
    <row r="9" customHeight="1" spans="1:12">
      <c r="A9" s="14"/>
      <c r="B9" s="15"/>
      <c r="C9" s="43"/>
      <c r="D9" s="43"/>
      <c r="E9" s="43"/>
      <c r="F9" s="16"/>
      <c r="G9" s="35"/>
      <c r="H9" s="18" t="s">
        <v>60</v>
      </c>
      <c r="I9" s="36"/>
      <c r="J9" s="24" t="s">
        <v>554</v>
      </c>
      <c r="K9" s="18"/>
      <c r="L9" s="25"/>
    </row>
    <row r="10" customHeight="1" spans="1:12">
      <c r="A10" s="14"/>
      <c r="B10" s="15"/>
      <c r="C10" s="44"/>
      <c r="D10" s="44"/>
      <c r="E10" s="44"/>
      <c r="F10" s="16"/>
      <c r="G10" s="35"/>
      <c r="H10" s="18" t="s">
        <v>61</v>
      </c>
      <c r="I10" s="38"/>
      <c r="J10" s="24" t="s">
        <v>555</v>
      </c>
      <c r="K10" s="18"/>
      <c r="L10" s="25"/>
    </row>
    <row r="11" customHeight="1" spans="1:12">
      <c r="A11" s="14" t="str">
        <f t="shared" ref="A11:A47" si="0">"0x"&amp;DEC2HEX(B11,8)</f>
        <v>0x00000008</v>
      </c>
      <c r="B11" s="15">
        <f>SUM_HEX(C5:F10,B5,3)</f>
        <v>8</v>
      </c>
      <c r="C11" s="16" t="s">
        <v>23</v>
      </c>
      <c r="D11" s="16"/>
      <c r="E11" s="16"/>
      <c r="F11" s="16"/>
      <c r="G11" s="18" t="s">
        <v>15</v>
      </c>
      <c r="H11" s="18"/>
      <c r="I11" s="24" t="s">
        <v>556</v>
      </c>
      <c r="J11" s="18"/>
      <c r="K11" s="18" t="s">
        <v>520</v>
      </c>
      <c r="L11" s="25" t="s">
        <v>280</v>
      </c>
    </row>
    <row r="12" customHeight="1" spans="1:12">
      <c r="A12" s="14" t="str">
        <f t="shared" si="0"/>
        <v>0x0000000C</v>
      </c>
      <c r="B12" s="15">
        <f>SUM_HEX(C11:F11,B11,3)</f>
        <v>12</v>
      </c>
      <c r="C12" s="16" t="s">
        <v>23</v>
      </c>
      <c r="D12" s="16"/>
      <c r="E12" s="16"/>
      <c r="F12" s="16"/>
      <c r="G12" s="18" t="s">
        <v>15</v>
      </c>
      <c r="H12" s="18"/>
      <c r="I12" s="24" t="s">
        <v>557</v>
      </c>
      <c r="J12" s="18"/>
      <c r="K12" s="18" t="s">
        <v>520</v>
      </c>
      <c r="L12" s="25" t="s">
        <v>280</v>
      </c>
    </row>
    <row r="13" customHeight="1" spans="1:12">
      <c r="A13" s="14" t="str">
        <f t="shared" si="0"/>
        <v>0x00000010</v>
      </c>
      <c r="B13" s="15">
        <f>SUM_HEX(C12:F12,B12,3)</f>
        <v>16</v>
      </c>
      <c r="C13" s="16" t="s">
        <v>22</v>
      </c>
      <c r="D13" s="16"/>
      <c r="E13" s="16"/>
      <c r="F13" s="45"/>
      <c r="G13" s="18" t="s">
        <v>157</v>
      </c>
      <c r="H13" s="18" t="s">
        <v>326</v>
      </c>
      <c r="I13" s="24" t="s">
        <v>558</v>
      </c>
      <c r="J13" s="18"/>
      <c r="K13" s="18" t="s">
        <v>318</v>
      </c>
      <c r="L13" s="25" t="s">
        <v>559</v>
      </c>
    </row>
    <row r="14" customHeight="1" spans="1:12">
      <c r="A14" s="14" t="str">
        <f t="shared" si="0"/>
        <v>0x00000014</v>
      </c>
      <c r="B14" s="15">
        <f>SUM_HEX(C13:F13,B13,3)</f>
        <v>20</v>
      </c>
      <c r="C14" s="26" t="s">
        <v>560</v>
      </c>
      <c r="D14" s="16"/>
      <c r="E14" s="16"/>
      <c r="F14" s="45"/>
      <c r="G14" s="18"/>
      <c r="H14" s="18"/>
      <c r="I14" s="24"/>
      <c r="J14" s="18"/>
      <c r="K14" s="18"/>
      <c r="L14" s="25"/>
    </row>
    <row r="15" customHeight="1" spans="1:12">
      <c r="A15" s="14" t="str">
        <f t="shared" si="0"/>
        <v>0x00000018</v>
      </c>
      <c r="B15" s="15">
        <f>SUM_HEX(C14:F14,B14,3)</f>
        <v>24</v>
      </c>
      <c r="C15" s="16" t="s">
        <v>148</v>
      </c>
      <c r="D15" s="16" t="s">
        <v>148</v>
      </c>
      <c r="E15" s="16" t="s">
        <v>148</v>
      </c>
      <c r="F15" s="45"/>
      <c r="G15" s="18"/>
      <c r="H15" s="18"/>
      <c r="I15" s="24"/>
      <c r="J15" s="18"/>
      <c r="K15" s="18"/>
      <c r="L15" s="25"/>
    </row>
    <row r="16" customHeight="1" spans="1:12">
      <c r="A16" s="14" t="str">
        <f t="shared" si="0"/>
        <v>0x00000024</v>
      </c>
      <c r="B16" s="15">
        <f>SUM_HEX(C15:F15,B15,3)</f>
        <v>36</v>
      </c>
      <c r="C16" s="16" t="s">
        <v>23</v>
      </c>
      <c r="D16" s="16" t="s">
        <v>23</v>
      </c>
      <c r="E16" s="16" t="s">
        <v>23</v>
      </c>
      <c r="F16" s="45"/>
      <c r="G16" s="18"/>
      <c r="H16" s="18"/>
      <c r="I16" s="24"/>
      <c r="J16" s="18"/>
      <c r="K16" s="18"/>
      <c r="L16" s="25"/>
    </row>
    <row r="17" customHeight="1" spans="1:12">
      <c r="A17" s="14" t="str">
        <f t="shared" si="0"/>
        <v>0x00000030</v>
      </c>
      <c r="B17" s="15">
        <f>SUM_HEX(C16:F16,B16,3)</f>
        <v>48</v>
      </c>
      <c r="C17" s="16" t="s">
        <v>561</v>
      </c>
      <c r="D17" s="16"/>
      <c r="E17" s="16"/>
      <c r="F17" s="45"/>
      <c r="G17" s="18"/>
      <c r="H17" s="18"/>
      <c r="I17" s="24"/>
      <c r="J17" s="18"/>
      <c r="K17" s="18"/>
      <c r="L17" s="25"/>
    </row>
    <row r="18" customHeight="1" spans="1:12">
      <c r="A18" s="14" t="str">
        <f t="shared" si="0"/>
        <v>0x00000034</v>
      </c>
      <c r="B18" s="15">
        <f>SUM_HEX(C17:F17,B17,3)</f>
        <v>52</v>
      </c>
      <c r="C18" s="16" t="s">
        <v>562</v>
      </c>
      <c r="D18" s="16"/>
      <c r="E18" s="16"/>
      <c r="F18" s="45"/>
      <c r="G18" s="18" t="s">
        <v>157</v>
      </c>
      <c r="H18" s="18" t="s">
        <v>212</v>
      </c>
      <c r="I18" s="24" t="s">
        <v>563</v>
      </c>
      <c r="J18" s="18"/>
      <c r="K18" s="18" t="s">
        <v>344</v>
      </c>
      <c r="L18" s="25"/>
    </row>
    <row r="19" customHeight="1" spans="1:12">
      <c r="A19" s="14" t="str">
        <f t="shared" si="0"/>
        <v>0x00000038</v>
      </c>
      <c r="B19" s="15">
        <f>SUM_HEX(C18:F18,B18,3)</f>
        <v>56</v>
      </c>
      <c r="C19" s="16" t="s">
        <v>564</v>
      </c>
      <c r="D19" s="16"/>
      <c r="E19" s="16"/>
      <c r="F19" s="45"/>
      <c r="G19" s="18"/>
      <c r="H19" s="18"/>
      <c r="I19" s="24"/>
      <c r="J19" s="18"/>
      <c r="K19" s="18"/>
      <c r="L19" s="25"/>
    </row>
    <row r="20" customHeight="1" spans="1:12">
      <c r="A20" s="14" t="str">
        <f t="shared" si="0"/>
        <v>0x0000003C</v>
      </c>
      <c r="B20" s="15">
        <f>SUM_HEX(C19:F19,B19,3)</f>
        <v>60</v>
      </c>
      <c r="C20" s="16" t="s">
        <v>23</v>
      </c>
      <c r="D20" s="16" t="s">
        <v>23</v>
      </c>
      <c r="E20" s="16"/>
      <c r="F20" s="45"/>
      <c r="G20" s="18"/>
      <c r="H20" s="18"/>
      <c r="I20" s="24"/>
      <c r="J20" s="18"/>
      <c r="K20" s="18"/>
      <c r="L20" s="25"/>
    </row>
    <row r="21" customHeight="1" spans="1:12">
      <c r="A21" s="14" t="str">
        <f t="shared" si="0"/>
        <v>0x00000044</v>
      </c>
      <c r="B21" s="15">
        <f>SUM_HEX(C20:F20,B20,3)</f>
        <v>68</v>
      </c>
      <c r="C21" s="16" t="s">
        <v>95</v>
      </c>
      <c r="D21" s="16"/>
      <c r="E21" s="16"/>
      <c r="F21" s="45"/>
      <c r="G21" s="18"/>
      <c r="H21" s="18"/>
      <c r="I21" s="24"/>
      <c r="J21" s="18"/>
      <c r="K21" s="18"/>
      <c r="L21" s="25"/>
    </row>
    <row r="22" customHeight="1" spans="1:12">
      <c r="A22" s="14" t="str">
        <f t="shared" si="0"/>
        <v>0x00000048</v>
      </c>
      <c r="B22" s="15">
        <f>SUM_HEX(C21:F21,B21,3)</f>
        <v>72</v>
      </c>
      <c r="C22" s="16" t="s">
        <v>22</v>
      </c>
      <c r="D22" s="16"/>
      <c r="E22" s="16"/>
      <c r="F22" s="16"/>
      <c r="G22" s="18" t="s">
        <v>157</v>
      </c>
      <c r="H22" s="18" t="s">
        <v>326</v>
      </c>
      <c r="I22" s="24" t="s">
        <v>565</v>
      </c>
      <c r="J22" s="18"/>
      <c r="K22" s="18" t="s">
        <v>318</v>
      </c>
      <c r="L22" s="25" t="s">
        <v>559</v>
      </c>
    </row>
    <row r="23" customHeight="1" spans="1:12">
      <c r="A23" s="14" t="str">
        <f t="shared" si="0"/>
        <v>0x0000004C</v>
      </c>
      <c r="B23" s="15">
        <f>SUM_HEX(C22:F22,B22,3)</f>
        <v>76</v>
      </c>
      <c r="C23" s="16" t="s">
        <v>566</v>
      </c>
      <c r="D23" s="16"/>
      <c r="E23" s="16"/>
      <c r="F23" s="16"/>
      <c r="G23" s="18"/>
      <c r="H23" s="18"/>
      <c r="I23" s="24"/>
      <c r="J23" s="18"/>
      <c r="K23" s="18"/>
      <c r="L23" s="25"/>
    </row>
    <row r="24" customHeight="1" spans="1:12">
      <c r="A24" s="14" t="str">
        <f t="shared" si="0"/>
        <v>0x00000050</v>
      </c>
      <c r="B24" s="15">
        <f>SUM_HEX(C23:F23,B23,3)</f>
        <v>80</v>
      </c>
      <c r="C24" s="16" t="s">
        <v>148</v>
      </c>
      <c r="D24" s="16" t="s">
        <v>148</v>
      </c>
      <c r="E24" s="16" t="s">
        <v>148</v>
      </c>
      <c r="F24" s="16"/>
      <c r="G24" s="18"/>
      <c r="H24" s="18"/>
      <c r="I24" s="24"/>
      <c r="J24" s="18"/>
      <c r="K24" s="18"/>
      <c r="L24" s="25"/>
    </row>
    <row r="25" customHeight="1" spans="1:12">
      <c r="A25" s="14" t="str">
        <f t="shared" si="0"/>
        <v>0x0000005C</v>
      </c>
      <c r="B25" s="15">
        <f>SUM_HEX(C24:F24,B24,3)</f>
        <v>92</v>
      </c>
      <c r="C25" s="16" t="s">
        <v>23</v>
      </c>
      <c r="D25" s="16" t="s">
        <v>23</v>
      </c>
      <c r="E25" s="16" t="s">
        <v>23</v>
      </c>
      <c r="F25" s="16"/>
      <c r="G25" s="18"/>
      <c r="H25" s="18"/>
      <c r="I25" s="24"/>
      <c r="J25" s="18"/>
      <c r="K25" s="18"/>
      <c r="L25" s="25"/>
    </row>
    <row r="26" customHeight="1" spans="1:12">
      <c r="A26" s="14" t="str">
        <f t="shared" si="0"/>
        <v>0x00000068</v>
      </c>
      <c r="B26" s="15">
        <f>SUM_HEX(C25:F25,B25,3)</f>
        <v>104</v>
      </c>
      <c r="C26" s="16" t="s">
        <v>113</v>
      </c>
      <c r="D26" s="16"/>
      <c r="E26" s="16"/>
      <c r="F26" s="16"/>
      <c r="G26" s="18"/>
      <c r="H26" s="18"/>
      <c r="I26" s="24"/>
      <c r="J26" s="18"/>
      <c r="K26" s="18"/>
      <c r="L26" s="25"/>
    </row>
    <row r="27" customHeight="1" spans="1:12">
      <c r="A27" s="14" t="str">
        <f t="shared" si="0"/>
        <v>0x0000006C</v>
      </c>
      <c r="B27" s="15">
        <f>SUM_HEX(C26:F26,B26,3)</f>
        <v>108</v>
      </c>
      <c r="C27" s="16" t="s">
        <v>22</v>
      </c>
      <c r="D27" s="16"/>
      <c r="E27" s="16"/>
      <c r="F27" s="16"/>
      <c r="G27" s="18" t="s">
        <v>157</v>
      </c>
      <c r="H27" s="18" t="s">
        <v>212</v>
      </c>
      <c r="I27" s="24" t="s">
        <v>567</v>
      </c>
      <c r="J27" s="18"/>
      <c r="K27" s="18" t="s">
        <v>344</v>
      </c>
      <c r="L27" s="25"/>
    </row>
    <row r="28" customHeight="1" spans="1:12">
      <c r="A28" s="14" t="str">
        <f t="shared" si="0"/>
        <v>0x00000070</v>
      </c>
      <c r="B28" s="15">
        <f>SUM_HEX(C27:F27,B27,3)</f>
        <v>112</v>
      </c>
      <c r="C28" s="16" t="s">
        <v>568</v>
      </c>
      <c r="D28" s="16"/>
      <c r="E28" s="16"/>
      <c r="F28" s="16"/>
      <c r="G28" s="18"/>
      <c r="H28" s="18"/>
      <c r="I28" s="24"/>
      <c r="J28" s="18"/>
      <c r="K28" s="18"/>
      <c r="L28" s="25"/>
    </row>
    <row r="29" customHeight="1" spans="1:12">
      <c r="A29" s="14" t="str">
        <f t="shared" si="0"/>
        <v>0x00000074</v>
      </c>
      <c r="B29" s="15">
        <f>SUM_HEX(C28:F28,B28,3)</f>
        <v>116</v>
      </c>
      <c r="C29" s="16" t="s">
        <v>148</v>
      </c>
      <c r="D29" s="16" t="s">
        <v>23</v>
      </c>
      <c r="E29" s="16"/>
      <c r="F29" s="16"/>
      <c r="G29" s="18"/>
      <c r="H29" s="18"/>
      <c r="I29" s="24"/>
      <c r="J29" s="18"/>
      <c r="K29" s="18"/>
      <c r="L29" s="25"/>
    </row>
    <row r="30" customHeight="1" spans="1:12">
      <c r="A30" s="14" t="str">
        <f t="shared" si="0"/>
        <v>0x0000007C</v>
      </c>
      <c r="B30" s="15">
        <f>SUM_HEX(C29:F29,B29,3)</f>
        <v>124</v>
      </c>
      <c r="C30" s="16" t="s">
        <v>116</v>
      </c>
      <c r="D30" s="16"/>
      <c r="E30" s="16"/>
      <c r="F30" s="16"/>
      <c r="G30" s="18"/>
      <c r="H30" s="18"/>
      <c r="I30" s="24"/>
      <c r="J30" s="18"/>
      <c r="K30" s="18"/>
      <c r="L30" s="25"/>
    </row>
    <row r="31" customHeight="1" spans="1:12">
      <c r="A31" s="14" t="str">
        <f t="shared" si="0"/>
        <v>0x00000080</v>
      </c>
      <c r="B31" s="15">
        <f>SUM_HEX(C30:F30,B30,3)</f>
        <v>128</v>
      </c>
      <c r="C31" s="16" t="s">
        <v>22</v>
      </c>
      <c r="D31" s="16"/>
      <c r="E31" s="16"/>
      <c r="F31" s="16"/>
      <c r="G31" s="18" t="s">
        <v>157</v>
      </c>
      <c r="H31" s="18" t="s">
        <v>212</v>
      </c>
      <c r="I31" s="24" t="s">
        <v>569</v>
      </c>
      <c r="J31" s="18"/>
      <c r="K31" s="18" t="s">
        <v>570</v>
      </c>
      <c r="L31" s="25" t="s">
        <v>272</v>
      </c>
    </row>
    <row r="32" customHeight="1" spans="1:12">
      <c r="A32" s="14" t="str">
        <f t="shared" si="0"/>
        <v>0x00000084</v>
      </c>
      <c r="B32" s="15">
        <f>SUM_HEX(C31:F31,B31,3)</f>
        <v>132</v>
      </c>
      <c r="C32" s="16" t="s">
        <v>571</v>
      </c>
      <c r="D32" s="16"/>
      <c r="E32" s="16"/>
      <c r="F32" s="16"/>
      <c r="G32" s="18"/>
      <c r="H32" s="18"/>
      <c r="I32" s="24"/>
      <c r="J32" s="18"/>
      <c r="K32" s="18"/>
      <c r="L32" s="25"/>
    </row>
    <row r="33" customHeight="1" spans="1:12">
      <c r="A33" s="14" t="str">
        <f t="shared" si="0"/>
        <v>0x00000088</v>
      </c>
      <c r="B33" s="15">
        <f>SUM_HEX(C32:F32,B32,3)</f>
        <v>136</v>
      </c>
      <c r="C33" s="16" t="s">
        <v>572</v>
      </c>
      <c r="D33" s="16" t="s">
        <v>23</v>
      </c>
      <c r="E33" s="16"/>
      <c r="F33" s="16"/>
      <c r="G33" s="18"/>
      <c r="H33" s="18"/>
      <c r="I33" s="24"/>
      <c r="J33" s="18"/>
      <c r="K33" s="18"/>
      <c r="L33" s="25"/>
    </row>
    <row r="34" customHeight="1" spans="1:12">
      <c r="A34" s="14" t="str">
        <f t="shared" si="0"/>
        <v>0x00000090</v>
      </c>
      <c r="B34" s="15">
        <f>SUM_HEX(C33:F33,B33,3)</f>
        <v>144</v>
      </c>
      <c r="C34" s="16" t="s">
        <v>573</v>
      </c>
      <c r="D34" s="16"/>
      <c r="E34" s="16"/>
      <c r="F34" s="16"/>
      <c r="G34" s="18"/>
      <c r="H34" s="18"/>
      <c r="I34" s="24"/>
      <c r="J34" s="18"/>
      <c r="K34" s="18"/>
      <c r="L34" s="25"/>
    </row>
    <row r="35" customHeight="1" spans="1:12">
      <c r="A35" s="14" t="str">
        <f t="shared" si="0"/>
        <v>0x00000094</v>
      </c>
      <c r="B35" s="15">
        <f>SUM_HEX(C34:F34,B34,3)</f>
        <v>148</v>
      </c>
      <c r="C35" s="16" t="s">
        <v>572</v>
      </c>
      <c r="D35" s="16"/>
      <c r="E35" s="16"/>
      <c r="F35" s="16"/>
      <c r="G35" s="18" t="s">
        <v>212</v>
      </c>
      <c r="H35" s="18"/>
      <c r="I35" s="24" t="s">
        <v>574</v>
      </c>
      <c r="J35" s="18"/>
      <c r="K35" s="18" t="s">
        <v>570</v>
      </c>
      <c r="L35" s="25" t="s">
        <v>272</v>
      </c>
    </row>
    <row r="36" customHeight="1" spans="1:12">
      <c r="A36" s="14" t="str">
        <f t="shared" si="0"/>
        <v>0x00000098</v>
      </c>
      <c r="B36" s="15">
        <f>SUM_HEX(C35:F35,B35,3)</f>
        <v>152</v>
      </c>
      <c r="C36" s="16" t="s">
        <v>22</v>
      </c>
      <c r="D36" s="16"/>
      <c r="E36" s="16"/>
      <c r="F36" s="16"/>
      <c r="G36" s="18" t="s">
        <v>157</v>
      </c>
      <c r="H36" s="18" t="s">
        <v>212</v>
      </c>
      <c r="I36" s="24" t="s">
        <v>575</v>
      </c>
      <c r="J36" s="24"/>
      <c r="K36" s="18" t="s">
        <v>570</v>
      </c>
      <c r="L36" s="25" t="s">
        <v>272</v>
      </c>
    </row>
    <row r="37" customHeight="1" spans="1:12">
      <c r="A37" s="14" t="str">
        <f t="shared" si="0"/>
        <v>0x0000009C</v>
      </c>
      <c r="B37" s="15">
        <f>SUM_HEX(C36:F36,B36,3)</f>
        <v>156</v>
      </c>
      <c r="C37" s="16" t="s">
        <v>576</v>
      </c>
      <c r="D37" s="16"/>
      <c r="E37" s="16"/>
      <c r="F37" s="16"/>
      <c r="G37" s="18"/>
      <c r="H37" s="18"/>
      <c r="I37" s="24"/>
      <c r="J37" s="24"/>
      <c r="K37" s="18"/>
      <c r="L37" s="25"/>
    </row>
    <row r="38" customHeight="1" spans="1:12">
      <c r="A38" s="14" t="str">
        <f t="shared" si="0"/>
        <v>0x000000A0</v>
      </c>
      <c r="B38" s="15">
        <f>SUM_HEX(C37:F37,B37,3)</f>
        <v>160</v>
      </c>
      <c r="C38" s="16" t="s">
        <v>577</v>
      </c>
      <c r="D38" s="16" t="s">
        <v>23</v>
      </c>
      <c r="E38" s="16"/>
      <c r="F38" s="16"/>
      <c r="G38" s="18"/>
      <c r="H38" s="18"/>
      <c r="I38" s="24"/>
      <c r="J38" s="24"/>
      <c r="K38" s="18"/>
      <c r="L38" s="25"/>
    </row>
    <row r="39" customHeight="1" spans="1:12">
      <c r="A39" s="14" t="str">
        <f t="shared" si="0"/>
        <v>0x000000A8</v>
      </c>
      <c r="B39" s="15">
        <f>SUM_HEX(C38:F38,B38,3)</f>
        <v>168</v>
      </c>
      <c r="C39" s="16" t="s">
        <v>578</v>
      </c>
      <c r="D39" s="16"/>
      <c r="E39" s="16"/>
      <c r="F39" s="16"/>
      <c r="G39" s="18"/>
      <c r="H39" s="18"/>
      <c r="I39" s="24"/>
      <c r="J39" s="24"/>
      <c r="K39" s="18"/>
      <c r="L39" s="25"/>
    </row>
    <row r="40" customHeight="1" spans="1:12">
      <c r="A40" s="14" t="str">
        <f t="shared" si="0"/>
        <v>0x000000AC</v>
      </c>
      <c r="B40" s="15">
        <f>SUM_HEX(C39:F39,B39,3)</f>
        <v>172</v>
      </c>
      <c r="C40" s="16" t="s">
        <v>23</v>
      </c>
      <c r="D40" s="16"/>
      <c r="E40" s="16"/>
      <c r="F40" s="16"/>
      <c r="G40" s="18" t="s">
        <v>157</v>
      </c>
      <c r="H40" s="18" t="s">
        <v>212</v>
      </c>
      <c r="I40" s="24" t="s">
        <v>579</v>
      </c>
      <c r="J40" s="24"/>
      <c r="K40" s="24" t="s">
        <v>299</v>
      </c>
      <c r="L40" s="24" t="s">
        <v>333</v>
      </c>
    </row>
    <row r="41" customHeight="1" spans="1:12">
      <c r="A41" s="14" t="str">
        <f t="shared" si="0"/>
        <v>0x000000B0</v>
      </c>
      <c r="B41" s="15">
        <f>SUM_HEX(C40:F40,B40,3)</f>
        <v>176</v>
      </c>
      <c r="C41" s="16" t="s">
        <v>580</v>
      </c>
      <c r="D41" s="16"/>
      <c r="E41" s="16"/>
      <c r="F41" s="16"/>
      <c r="G41" s="18"/>
      <c r="H41" s="18"/>
      <c r="I41" s="24"/>
      <c r="J41" s="24"/>
      <c r="K41" s="24"/>
      <c r="L41" s="24"/>
    </row>
    <row r="42" customHeight="1" spans="1:12">
      <c r="A42" s="14" t="str">
        <f t="shared" si="0"/>
        <v>0x000000B4</v>
      </c>
      <c r="B42" s="15">
        <f>SUM_HEX(C41:F41,B41,3)</f>
        <v>180</v>
      </c>
      <c r="C42" s="16" t="s">
        <v>23</v>
      </c>
      <c r="D42" s="16" t="s">
        <v>23</v>
      </c>
      <c r="E42" s="16"/>
      <c r="F42" s="16"/>
      <c r="G42" s="18"/>
      <c r="H42" s="18"/>
      <c r="I42" s="24"/>
      <c r="J42" s="24"/>
      <c r="K42" s="24"/>
      <c r="L42" s="24"/>
    </row>
    <row r="43" customHeight="1" spans="1:12">
      <c r="A43" s="14" t="str">
        <f t="shared" si="0"/>
        <v>0x000000BC</v>
      </c>
      <c r="B43" s="15">
        <f>SUM_HEX(C42:F42,B42,3)</f>
        <v>188</v>
      </c>
      <c r="C43" s="16" t="s">
        <v>581</v>
      </c>
      <c r="D43" s="16"/>
      <c r="E43" s="16"/>
      <c r="F43" s="16"/>
      <c r="G43" s="18"/>
      <c r="H43" s="18"/>
      <c r="I43" s="24"/>
      <c r="J43" s="24"/>
      <c r="K43" s="24"/>
      <c r="L43" s="24"/>
    </row>
    <row r="44" customHeight="1" spans="1:12">
      <c r="A44" s="14" t="str">
        <f t="shared" si="0"/>
        <v>0x000000C0</v>
      </c>
      <c r="B44" s="15">
        <f>SUM_HEX(C43:F43,B43,3)</f>
        <v>192</v>
      </c>
      <c r="C44" s="16" t="s">
        <v>23</v>
      </c>
      <c r="D44" s="16"/>
      <c r="E44" s="16"/>
      <c r="F44" s="16"/>
      <c r="G44" s="18" t="s">
        <v>157</v>
      </c>
      <c r="H44" s="18" t="s">
        <v>212</v>
      </c>
      <c r="I44" s="24" t="s">
        <v>582</v>
      </c>
      <c r="J44" s="18"/>
      <c r="K44" s="24" t="s">
        <v>299</v>
      </c>
      <c r="L44" s="24" t="s">
        <v>333</v>
      </c>
    </row>
    <row r="45" customHeight="1" spans="1:12">
      <c r="A45" s="14" t="str">
        <f t="shared" si="0"/>
        <v>0x000000C4</v>
      </c>
      <c r="B45" s="15">
        <f>SUM_HEX(C44:F44,B44,3)</f>
        <v>196</v>
      </c>
      <c r="C45" s="16" t="s">
        <v>583</v>
      </c>
      <c r="D45" s="16"/>
      <c r="E45" s="16"/>
      <c r="F45" s="16"/>
      <c r="G45" s="18"/>
      <c r="H45" s="18"/>
      <c r="I45" s="24"/>
      <c r="J45" s="18"/>
      <c r="K45" s="24"/>
      <c r="L45" s="24"/>
    </row>
    <row r="46" customHeight="1" spans="1:12">
      <c r="A46" s="14" t="str">
        <f t="shared" si="0"/>
        <v>0x000000C8</v>
      </c>
      <c r="B46" s="15">
        <f>SUM_HEX(C45:F45,B45,3)</f>
        <v>200</v>
      </c>
      <c r="C46" s="16" t="s">
        <v>23</v>
      </c>
      <c r="D46" s="16" t="s">
        <v>23</v>
      </c>
      <c r="E46" s="16"/>
      <c r="F46" s="16"/>
      <c r="G46" s="18"/>
      <c r="H46" s="18"/>
      <c r="I46" s="24"/>
      <c r="J46" s="18"/>
      <c r="K46" s="24"/>
      <c r="L46" s="24"/>
    </row>
    <row r="47" customHeight="1" spans="1:12">
      <c r="A47" s="14" t="str">
        <f t="shared" si="0"/>
        <v>0x000000D0</v>
      </c>
      <c r="B47" s="15">
        <f>SUM_HEX(C46:F46,B46,3)</f>
        <v>208</v>
      </c>
      <c r="C47" s="16" t="s">
        <v>168</v>
      </c>
      <c r="D47" s="16"/>
      <c r="E47" s="16"/>
      <c r="F47" s="16"/>
      <c r="G47" s="18"/>
      <c r="H47" s="18"/>
      <c r="I47" s="24"/>
      <c r="J47" s="18"/>
      <c r="K47" s="24"/>
      <c r="L47" s="24"/>
    </row>
  </sheetData>
  <mergeCells count="108">
    <mergeCell ref="A2:B2"/>
    <mergeCell ref="C2:F2"/>
    <mergeCell ref="G2:H2"/>
    <mergeCell ref="N2:AI2"/>
    <mergeCell ref="G3:H3"/>
    <mergeCell ref="N3:AI3"/>
    <mergeCell ref="G4:H4"/>
    <mergeCell ref="N4:AI4"/>
    <mergeCell ref="N5:AI5"/>
    <mergeCell ref="N6:AI6"/>
    <mergeCell ref="N7:AI7"/>
    <mergeCell ref="N8:AI8"/>
    <mergeCell ref="G11:H11"/>
    <mergeCell ref="N11:AI11"/>
    <mergeCell ref="G12:H12"/>
    <mergeCell ref="N12:AI12"/>
    <mergeCell ref="N13:AI13"/>
    <mergeCell ref="N14:AI14"/>
    <mergeCell ref="N15:AI15"/>
    <mergeCell ref="N16:AI16"/>
    <mergeCell ref="N17:AI17"/>
    <mergeCell ref="N18:AI18"/>
    <mergeCell ref="N19:AI19"/>
    <mergeCell ref="N20:AI20"/>
    <mergeCell ref="N21:AI21"/>
    <mergeCell ref="N22:AI22"/>
    <mergeCell ref="N23:AI23"/>
    <mergeCell ref="N24:AI24"/>
    <mergeCell ref="N25:AI25"/>
    <mergeCell ref="N26:AI26"/>
    <mergeCell ref="N27:AI27"/>
    <mergeCell ref="N28:AI28"/>
    <mergeCell ref="N29:AI29"/>
    <mergeCell ref="N30:AI30"/>
    <mergeCell ref="N31:AI31"/>
    <mergeCell ref="N32:AI32"/>
    <mergeCell ref="N33:AI33"/>
    <mergeCell ref="N34:AI34"/>
    <mergeCell ref="G35:H35"/>
    <mergeCell ref="N35:AI35"/>
    <mergeCell ref="N36:AI36"/>
    <mergeCell ref="N37:AI37"/>
    <mergeCell ref="N38:AI38"/>
    <mergeCell ref="N39:AI39"/>
    <mergeCell ref="N40:AI40"/>
    <mergeCell ref="N41:AI41"/>
    <mergeCell ref="N42:AI42"/>
    <mergeCell ref="N43:AI43"/>
    <mergeCell ref="N44:AI44"/>
    <mergeCell ref="N45:AI45"/>
    <mergeCell ref="N46:AI46"/>
    <mergeCell ref="N47:AI47"/>
    <mergeCell ref="A5:A10"/>
    <mergeCell ref="B5:B10"/>
    <mergeCell ref="C5:C10"/>
    <mergeCell ref="D5:D10"/>
    <mergeCell ref="E5:E10"/>
    <mergeCell ref="F5:F10"/>
    <mergeCell ref="G5:G10"/>
    <mergeCell ref="G13:G17"/>
    <mergeCell ref="G18:G21"/>
    <mergeCell ref="G22:G26"/>
    <mergeCell ref="G27:G30"/>
    <mergeCell ref="G31:G34"/>
    <mergeCell ref="G36:G39"/>
    <mergeCell ref="G40:G43"/>
    <mergeCell ref="G44:G47"/>
    <mergeCell ref="H13:H17"/>
    <mergeCell ref="H18:H21"/>
    <mergeCell ref="H22:H26"/>
    <mergeCell ref="H27:H30"/>
    <mergeCell ref="H31:H34"/>
    <mergeCell ref="H36:H39"/>
    <mergeCell ref="H40:H43"/>
    <mergeCell ref="H44:H47"/>
    <mergeCell ref="I5:I10"/>
    <mergeCell ref="I13:I17"/>
    <mergeCell ref="I18:I21"/>
    <mergeCell ref="I22:I26"/>
    <mergeCell ref="I27:I30"/>
    <mergeCell ref="I31:I34"/>
    <mergeCell ref="I36:I39"/>
    <mergeCell ref="I40:I43"/>
    <mergeCell ref="I44:I47"/>
    <mergeCell ref="J13:J17"/>
    <mergeCell ref="J18:J21"/>
    <mergeCell ref="J22:J26"/>
    <mergeCell ref="J27:J30"/>
    <mergeCell ref="J31:J34"/>
    <mergeCell ref="J36:J39"/>
    <mergeCell ref="J40:J43"/>
    <mergeCell ref="J44:J47"/>
    <mergeCell ref="K13:K17"/>
    <mergeCell ref="K18:K21"/>
    <mergeCell ref="K22:K26"/>
    <mergeCell ref="K27:K30"/>
    <mergeCell ref="K31:K34"/>
    <mergeCell ref="K36:K39"/>
    <mergeCell ref="K40:K43"/>
    <mergeCell ref="K44:K47"/>
    <mergeCell ref="L13:L17"/>
    <mergeCell ref="L18:L21"/>
    <mergeCell ref="L22:L26"/>
    <mergeCell ref="L27:L30"/>
    <mergeCell ref="L31:L34"/>
    <mergeCell ref="L36:L39"/>
    <mergeCell ref="L40:L43"/>
    <mergeCell ref="L44:L47"/>
  </mergeCells>
  <pageMargins left="0.75" right="0.75" top="1" bottom="1" header="0.5" footer="0.5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AI54"/>
  <sheetViews>
    <sheetView topLeftCell="C10" workbookViewId="0">
      <selection activeCell="I51" sqref="I51:I54"/>
    </sheetView>
  </sheetViews>
  <sheetFormatPr defaultColWidth="9" defaultRowHeight="13.5" customHeight="1"/>
  <cols>
    <col min="1" max="1" width="11.25" style="1" customWidth="1"/>
    <col min="2" max="2" width="7.625" style="2" customWidth="1"/>
    <col min="3" max="6" width="9.625" style="3" customWidth="1"/>
    <col min="7" max="8" width="8.625" style="4" customWidth="1"/>
    <col min="9" max="9" width="20.125" style="5" customWidth="1"/>
    <col min="10" max="10" width="58.875" style="4" customWidth="1"/>
    <col min="11" max="11" width="15.125" style="4" customWidth="1"/>
    <col min="12" max="12" width="9" style="3"/>
    <col min="13" max="13" width="3.625" style="6" customWidth="1"/>
    <col min="14" max="16384" width="9" style="4"/>
  </cols>
  <sheetData>
    <row r="1" customHeight="1" spans="1:14">
      <c r="A1" s="7" t="s">
        <v>111</v>
      </c>
      <c r="B1" s="8" t="s">
        <v>27</v>
      </c>
      <c r="C1" s="9" t="s">
        <v>584</v>
      </c>
      <c r="N1" s="19" t="s">
        <v>1</v>
      </c>
    </row>
    <row r="2" customHeight="1" spans="1:14">
      <c r="A2" s="10" t="s">
        <v>2</v>
      </c>
      <c r="B2" s="11"/>
      <c r="C2" s="12" t="s">
        <v>3</v>
      </c>
      <c r="D2" s="12"/>
      <c r="E2" s="12"/>
      <c r="F2" s="12"/>
      <c r="G2" s="13" t="s">
        <v>4</v>
      </c>
      <c r="H2" s="13"/>
      <c r="I2" s="20" t="s">
        <v>5</v>
      </c>
      <c r="J2" s="27" t="s">
        <v>6</v>
      </c>
      <c r="K2" s="13" t="s">
        <v>7</v>
      </c>
      <c r="L2" s="21" t="s">
        <v>8</v>
      </c>
      <c r="N2" s="4" t="str">
        <f>TO_HTML_TABLE(A2:L2)</f>
        <v>&lt;tr&gt;&lt;td colspan="2"&gt;Offset&lt;/td&gt;&lt;td colspan="4"&gt;HEX&lt;/td&gt;&lt;td colspan="2"&gt;Type&lt;/td&gt;&lt;td&gt;Name&lt;/td&gt;&lt;td&gt;Description&lt;/td&gt;&lt;td&gt;Bound&lt;/td&gt;&lt;td&gt;ToMax&lt;/td&gt;&lt;/tr&gt;</v>
      </c>
    </row>
    <row r="3" customHeight="1" spans="1:12">
      <c r="A3" s="14" t="str">
        <f>"0x"&amp;DEC2HEX(B3,8)</f>
        <v>0x00000000</v>
      </c>
      <c r="B3" s="15">
        <f>0</f>
        <v>0</v>
      </c>
      <c r="C3" s="16" t="s">
        <v>23</v>
      </c>
      <c r="D3" s="16"/>
      <c r="E3" s="16"/>
      <c r="F3" s="16"/>
      <c r="G3" s="18" t="s">
        <v>15</v>
      </c>
      <c r="H3" s="18"/>
      <c r="I3" s="24" t="s">
        <v>279</v>
      </c>
      <c r="J3" s="28"/>
      <c r="K3" s="18" t="s">
        <v>21</v>
      </c>
      <c r="L3" s="25" t="s">
        <v>280</v>
      </c>
    </row>
    <row r="4" customHeight="1" spans="1:12">
      <c r="A4" s="14" t="str">
        <f>"0x"&amp;DEC2HEX(B4,8)</f>
        <v>0x00000004</v>
      </c>
      <c r="B4" s="15">
        <f>SUM_HEX(C3:F3,B3,3)</f>
        <v>4</v>
      </c>
      <c r="C4" s="16" t="s">
        <v>42</v>
      </c>
      <c r="D4" s="16" t="s">
        <v>168</v>
      </c>
      <c r="E4" s="16" t="s">
        <v>23</v>
      </c>
      <c r="F4" s="16"/>
      <c r="G4" s="18" t="s">
        <v>24</v>
      </c>
      <c r="H4" s="18" t="s">
        <v>30</v>
      </c>
      <c r="I4" s="24" t="s">
        <v>585</v>
      </c>
      <c r="J4" s="28"/>
      <c r="K4" s="18"/>
      <c r="L4" s="25"/>
    </row>
    <row r="5" customHeight="1" spans="1:12">
      <c r="A5" s="14" t="str">
        <f t="shared" ref="A5:A36" si="0">"0x"&amp;DEC2HEX(B5,8)</f>
        <v>0x00000010</v>
      </c>
      <c r="B5" s="15">
        <f>SUM_HEX(C4:F4,B4,3)</f>
        <v>16</v>
      </c>
      <c r="C5" s="16" t="s">
        <v>23</v>
      </c>
      <c r="D5" s="16"/>
      <c r="E5" s="16"/>
      <c r="F5" s="16"/>
      <c r="G5" s="18" t="s">
        <v>157</v>
      </c>
      <c r="H5" s="18" t="s">
        <v>212</v>
      </c>
      <c r="I5" s="24" t="s">
        <v>586</v>
      </c>
      <c r="J5" s="29"/>
      <c r="K5" s="24" t="s">
        <v>587</v>
      </c>
      <c r="L5" s="24" t="s">
        <v>333</v>
      </c>
    </row>
    <row r="6" customHeight="1" spans="1:12">
      <c r="A6" s="14" t="str">
        <f t="shared" si="0"/>
        <v>0x00000014</v>
      </c>
      <c r="B6" s="15">
        <f>SUM_HEX(C5:F5,B5,3)</f>
        <v>20</v>
      </c>
      <c r="C6" s="16" t="s">
        <v>588</v>
      </c>
      <c r="D6" s="16"/>
      <c r="E6" s="16"/>
      <c r="F6" s="16"/>
      <c r="G6" s="18"/>
      <c r="H6" s="18"/>
      <c r="I6" s="24"/>
      <c r="J6" s="30"/>
      <c r="K6" s="24"/>
      <c r="L6" s="24"/>
    </row>
    <row r="7" customHeight="1" spans="1:12">
      <c r="A7" s="14" t="str">
        <f t="shared" si="0"/>
        <v>0x00000018</v>
      </c>
      <c r="B7" s="15">
        <f>SUM_HEX(C6:F6,B6,3)</f>
        <v>24</v>
      </c>
      <c r="C7" s="16" t="s">
        <v>589</v>
      </c>
      <c r="D7" s="16" t="s">
        <v>590</v>
      </c>
      <c r="E7" s="16"/>
      <c r="F7" s="16"/>
      <c r="G7" s="18"/>
      <c r="H7" s="18"/>
      <c r="I7" s="24"/>
      <c r="J7" s="30"/>
      <c r="K7" s="24"/>
      <c r="L7" s="24"/>
    </row>
    <row r="8" customHeight="1" spans="1:12">
      <c r="A8" s="14" t="str">
        <f t="shared" si="0"/>
        <v>0x00000020</v>
      </c>
      <c r="B8" s="15">
        <f>SUM_HEX(C7:F7,B7,3)</f>
        <v>32</v>
      </c>
      <c r="C8" s="16" t="s">
        <v>274</v>
      </c>
      <c r="D8" s="16"/>
      <c r="E8" s="16"/>
      <c r="F8" s="16"/>
      <c r="G8" s="18"/>
      <c r="H8" s="18"/>
      <c r="I8" s="24"/>
      <c r="J8" s="31"/>
      <c r="K8" s="24"/>
      <c r="L8" s="24"/>
    </row>
    <row r="9" customHeight="1" spans="1:12">
      <c r="A9" s="14" t="str">
        <f t="shared" si="0"/>
        <v>0x00000024</v>
      </c>
      <c r="B9" s="15">
        <f>SUM_HEX(C8:F8,B8,3)</f>
        <v>36</v>
      </c>
      <c r="C9" s="16" t="s">
        <v>23</v>
      </c>
      <c r="D9" s="16"/>
      <c r="E9" s="16"/>
      <c r="F9" s="16"/>
      <c r="G9" s="18" t="s">
        <v>15</v>
      </c>
      <c r="H9" s="18"/>
      <c r="I9" s="24" t="s">
        <v>591</v>
      </c>
      <c r="J9" s="32"/>
      <c r="K9" s="18"/>
      <c r="L9" s="25"/>
    </row>
    <row r="10" customHeight="1" spans="1:12">
      <c r="A10" s="14" t="str">
        <f t="shared" si="0"/>
        <v>0x00000028</v>
      </c>
      <c r="B10" s="15">
        <f>SUM_HEX(C9:F9,B9,3)</f>
        <v>40</v>
      </c>
      <c r="C10" s="16" t="s">
        <v>36</v>
      </c>
      <c r="D10" s="16"/>
      <c r="E10" s="16"/>
      <c r="F10" s="16"/>
      <c r="G10" s="18" t="s">
        <v>15</v>
      </c>
      <c r="H10" s="18"/>
      <c r="I10" s="24" t="s">
        <v>592</v>
      </c>
      <c r="J10" s="32"/>
      <c r="K10" s="18" t="s">
        <v>263</v>
      </c>
      <c r="L10" s="25" t="s">
        <v>280</v>
      </c>
    </row>
    <row r="11" customHeight="1" spans="1:12">
      <c r="A11" s="14" t="str">
        <f t="shared" si="0"/>
        <v>0x0000002C</v>
      </c>
      <c r="B11" s="15">
        <f>SUM_HEX(C10:F10,B10,3)</f>
        <v>44</v>
      </c>
      <c r="C11" s="16" t="s">
        <v>23</v>
      </c>
      <c r="D11" s="16"/>
      <c r="E11" s="16"/>
      <c r="F11" s="16"/>
      <c r="G11" s="18" t="s">
        <v>157</v>
      </c>
      <c r="H11" s="18" t="s">
        <v>212</v>
      </c>
      <c r="I11" s="24" t="s">
        <v>593</v>
      </c>
      <c r="J11" s="33"/>
      <c r="K11" s="34" t="s">
        <v>594</v>
      </c>
      <c r="L11" s="34" t="s">
        <v>272</v>
      </c>
    </row>
    <row r="12" customHeight="1" spans="1:12">
      <c r="A12" s="14" t="str">
        <f t="shared" si="0"/>
        <v>0x00000030</v>
      </c>
      <c r="B12" s="15">
        <f>SUM_HEX(C11:F11,B11,3)</f>
        <v>48</v>
      </c>
      <c r="C12" s="16" t="s">
        <v>595</v>
      </c>
      <c r="D12" s="16"/>
      <c r="E12" s="16"/>
      <c r="F12" s="16"/>
      <c r="G12" s="18"/>
      <c r="H12" s="18"/>
      <c r="I12" s="24"/>
      <c r="J12" s="35"/>
      <c r="K12" s="36"/>
      <c r="L12" s="36"/>
    </row>
    <row r="13" customHeight="1" spans="1:12">
      <c r="A13" s="14" t="str">
        <f t="shared" si="0"/>
        <v>0x00000034</v>
      </c>
      <c r="B13" s="15">
        <f>SUM_HEX(C12:F12,B12,3)</f>
        <v>52</v>
      </c>
      <c r="C13" s="16" t="s">
        <v>211</v>
      </c>
      <c r="D13" s="16" t="s">
        <v>596</v>
      </c>
      <c r="E13" s="16"/>
      <c r="F13" s="16"/>
      <c r="G13" s="18"/>
      <c r="H13" s="18"/>
      <c r="I13" s="24"/>
      <c r="J13" s="35"/>
      <c r="K13" s="36"/>
      <c r="L13" s="36"/>
    </row>
    <row r="14" customHeight="1" spans="1:12">
      <c r="A14" s="14" t="str">
        <f t="shared" si="0"/>
        <v>0x0000003C</v>
      </c>
      <c r="B14" s="15">
        <f>SUM_HEX(C13:F13,B13,3)</f>
        <v>60</v>
      </c>
      <c r="C14" s="26" t="s">
        <v>274</v>
      </c>
      <c r="D14" s="16"/>
      <c r="E14" s="16"/>
      <c r="F14" s="16"/>
      <c r="G14" s="18"/>
      <c r="H14" s="18"/>
      <c r="I14" s="24"/>
      <c r="J14" s="37"/>
      <c r="K14" s="38"/>
      <c r="L14" s="38"/>
    </row>
    <row r="15" customHeight="1" spans="1:12">
      <c r="A15" s="14" t="str">
        <f t="shared" si="0"/>
        <v>0x00000040</v>
      </c>
      <c r="B15" s="15">
        <f>SUM_HEX(C14:F14,B14,3)</f>
        <v>64</v>
      </c>
      <c r="C15" s="16" t="s">
        <v>23</v>
      </c>
      <c r="D15" s="16"/>
      <c r="E15" s="16"/>
      <c r="F15" s="16"/>
      <c r="G15" s="18" t="s">
        <v>157</v>
      </c>
      <c r="H15" s="18" t="s">
        <v>212</v>
      </c>
      <c r="I15" s="24" t="s">
        <v>597</v>
      </c>
      <c r="J15" s="33"/>
      <c r="K15" s="34" t="s">
        <v>594</v>
      </c>
      <c r="L15" s="34" t="s">
        <v>272</v>
      </c>
    </row>
    <row r="16" customHeight="1" spans="1:12">
      <c r="A16" s="14" t="str">
        <f t="shared" si="0"/>
        <v>0x00000044</v>
      </c>
      <c r="B16" s="15">
        <f>SUM_HEX(C15:F15,B15,3)</f>
        <v>68</v>
      </c>
      <c r="C16" s="16" t="s">
        <v>598</v>
      </c>
      <c r="D16" s="16"/>
      <c r="E16" s="16"/>
      <c r="F16" s="16"/>
      <c r="G16" s="18"/>
      <c r="H16" s="18"/>
      <c r="I16" s="24"/>
      <c r="J16" s="35"/>
      <c r="K16" s="36"/>
      <c r="L16" s="36"/>
    </row>
    <row r="17" customHeight="1" spans="1:12">
      <c r="A17" s="14" t="str">
        <f t="shared" si="0"/>
        <v>0x00000048</v>
      </c>
      <c r="B17" s="15">
        <f>SUM_HEX(C16:F16,B16,3)</f>
        <v>72</v>
      </c>
      <c r="C17" s="16" t="s">
        <v>330</v>
      </c>
      <c r="D17" s="16" t="s">
        <v>353</v>
      </c>
      <c r="E17" s="16"/>
      <c r="F17" s="16"/>
      <c r="G17" s="18"/>
      <c r="H17" s="18"/>
      <c r="I17" s="24"/>
      <c r="J17" s="35"/>
      <c r="K17" s="36"/>
      <c r="L17" s="36"/>
    </row>
    <row r="18" customHeight="1" spans="1:12">
      <c r="A18" s="14" t="str">
        <f t="shared" si="0"/>
        <v>0x00000050</v>
      </c>
      <c r="B18" s="15">
        <f>SUM_HEX(C17:F17,B17,3)</f>
        <v>80</v>
      </c>
      <c r="C18" s="16" t="s">
        <v>274</v>
      </c>
      <c r="D18" s="16"/>
      <c r="E18" s="16"/>
      <c r="F18" s="16"/>
      <c r="G18" s="18"/>
      <c r="H18" s="18"/>
      <c r="I18" s="24"/>
      <c r="J18" s="37"/>
      <c r="K18" s="38"/>
      <c r="L18" s="38"/>
    </row>
    <row r="19" customHeight="1" spans="1:12">
      <c r="A19" s="14" t="str">
        <f t="shared" si="0"/>
        <v>0x00000054</v>
      </c>
      <c r="B19" s="15">
        <f>SUM_HEX(C18:F18,B18,3)</f>
        <v>84</v>
      </c>
      <c r="C19" s="16" t="s">
        <v>22</v>
      </c>
      <c r="D19" s="16"/>
      <c r="E19" s="16"/>
      <c r="F19" s="16"/>
      <c r="G19" s="18" t="s">
        <v>157</v>
      </c>
      <c r="H19" s="18" t="s">
        <v>212</v>
      </c>
      <c r="I19" s="24" t="s">
        <v>599</v>
      </c>
      <c r="J19" s="33"/>
      <c r="K19" s="34" t="s">
        <v>594</v>
      </c>
      <c r="L19" s="34" t="s">
        <v>272</v>
      </c>
    </row>
    <row r="20" customHeight="1" spans="1:12">
      <c r="A20" s="14" t="str">
        <f t="shared" si="0"/>
        <v>0x00000058</v>
      </c>
      <c r="B20" s="15">
        <f>SUM_HEX(C19:F19,B19,3)</f>
        <v>88</v>
      </c>
      <c r="C20" s="16" t="s">
        <v>600</v>
      </c>
      <c r="D20" s="16"/>
      <c r="E20" s="16"/>
      <c r="F20" s="16"/>
      <c r="G20" s="18"/>
      <c r="H20" s="18"/>
      <c r="I20" s="24"/>
      <c r="J20" s="35"/>
      <c r="K20" s="36"/>
      <c r="L20" s="36"/>
    </row>
    <row r="21" customHeight="1" spans="1:12">
      <c r="A21" s="14" t="str">
        <f t="shared" si="0"/>
        <v>0x0000005C</v>
      </c>
      <c r="B21" s="15">
        <f>SUM_HEX(C20:F20,B20,3)</f>
        <v>92</v>
      </c>
      <c r="C21" s="16" t="s">
        <v>211</v>
      </c>
      <c r="D21" s="16" t="s">
        <v>211</v>
      </c>
      <c r="E21" s="16"/>
      <c r="F21" s="16"/>
      <c r="G21" s="18"/>
      <c r="H21" s="18"/>
      <c r="I21" s="24"/>
      <c r="J21" s="35"/>
      <c r="K21" s="36"/>
      <c r="L21" s="36"/>
    </row>
    <row r="22" customHeight="1" spans="1:12">
      <c r="A22" s="14" t="str">
        <f t="shared" si="0"/>
        <v>0x00000064</v>
      </c>
      <c r="B22" s="15">
        <f>SUM_HEX(C21:F21,B21,3)</f>
        <v>100</v>
      </c>
      <c r="C22" s="16" t="s">
        <v>274</v>
      </c>
      <c r="D22" s="16"/>
      <c r="E22" s="16"/>
      <c r="F22" s="16"/>
      <c r="G22" s="18"/>
      <c r="H22" s="18"/>
      <c r="I22" s="24"/>
      <c r="J22" s="37"/>
      <c r="K22" s="38"/>
      <c r="L22" s="38"/>
    </row>
    <row r="23" customHeight="1" spans="1:12">
      <c r="A23" s="14" t="str">
        <f t="shared" si="0"/>
        <v>0x00000068</v>
      </c>
      <c r="B23" s="15">
        <f>SUM_HEX(C22:F22,B22,3)</f>
        <v>104</v>
      </c>
      <c r="C23" s="16" t="s">
        <v>22</v>
      </c>
      <c r="D23" s="16"/>
      <c r="E23" s="16"/>
      <c r="F23" s="16"/>
      <c r="G23" s="18" t="s">
        <v>157</v>
      </c>
      <c r="H23" s="18" t="s">
        <v>212</v>
      </c>
      <c r="I23" s="24" t="s">
        <v>601</v>
      </c>
      <c r="J23" s="33"/>
      <c r="K23" s="34" t="s">
        <v>594</v>
      </c>
      <c r="L23" s="34" t="s">
        <v>272</v>
      </c>
    </row>
    <row r="24" customHeight="1" spans="1:12">
      <c r="A24" s="14" t="str">
        <f t="shared" si="0"/>
        <v>0x0000006C</v>
      </c>
      <c r="B24" s="15">
        <f>SUM_HEX(C23:F23,B23,3)</f>
        <v>108</v>
      </c>
      <c r="C24" s="16" t="s">
        <v>602</v>
      </c>
      <c r="D24" s="16"/>
      <c r="E24" s="16"/>
      <c r="F24" s="16"/>
      <c r="G24" s="18"/>
      <c r="H24" s="18"/>
      <c r="I24" s="24"/>
      <c r="J24" s="35"/>
      <c r="K24" s="36"/>
      <c r="L24" s="36"/>
    </row>
    <row r="25" customHeight="1" spans="1:12">
      <c r="A25" s="14" t="str">
        <f t="shared" si="0"/>
        <v>0x00000070</v>
      </c>
      <c r="B25" s="15">
        <f>SUM_HEX(C24:F24,B24,3)</f>
        <v>112</v>
      </c>
      <c r="C25" s="16" t="s">
        <v>603</v>
      </c>
      <c r="D25" s="16" t="s">
        <v>307</v>
      </c>
      <c r="E25" s="16"/>
      <c r="F25" s="16"/>
      <c r="G25" s="18"/>
      <c r="H25" s="18"/>
      <c r="I25" s="24"/>
      <c r="J25" s="35"/>
      <c r="K25" s="36"/>
      <c r="L25" s="36"/>
    </row>
    <row r="26" customHeight="1" spans="1:12">
      <c r="A26" s="14" t="str">
        <f t="shared" si="0"/>
        <v>0x00000078</v>
      </c>
      <c r="B26" s="15">
        <f>SUM_HEX(C25:F25,B25,3)</f>
        <v>120</v>
      </c>
      <c r="C26" s="16" t="s">
        <v>274</v>
      </c>
      <c r="D26" s="16"/>
      <c r="E26" s="16"/>
      <c r="F26" s="16"/>
      <c r="G26" s="18"/>
      <c r="H26" s="18"/>
      <c r="I26" s="24"/>
      <c r="J26" s="37"/>
      <c r="K26" s="38"/>
      <c r="L26" s="38"/>
    </row>
    <row r="27" customHeight="1" spans="1:12">
      <c r="A27" s="14" t="str">
        <f t="shared" si="0"/>
        <v>0x0000007C</v>
      </c>
      <c r="B27" s="15">
        <f>SUM_HEX(C26:F26,B26,3)</f>
        <v>124</v>
      </c>
      <c r="C27" s="16" t="s">
        <v>22</v>
      </c>
      <c r="D27" s="16"/>
      <c r="E27" s="16"/>
      <c r="F27" s="16"/>
      <c r="G27" s="18" t="s">
        <v>157</v>
      </c>
      <c r="H27" s="18" t="s">
        <v>212</v>
      </c>
      <c r="I27" s="24" t="s">
        <v>604</v>
      </c>
      <c r="J27" s="28"/>
      <c r="K27" s="34" t="s">
        <v>594</v>
      </c>
      <c r="L27" s="34" t="s">
        <v>272</v>
      </c>
    </row>
    <row r="28" customHeight="1" spans="1:12">
      <c r="A28" s="14" t="str">
        <f t="shared" si="0"/>
        <v>0x00000080</v>
      </c>
      <c r="B28" s="15">
        <f>SUM_HEX(C27:F27,B27,3)</f>
        <v>128</v>
      </c>
      <c r="C28" s="16" t="s">
        <v>605</v>
      </c>
      <c r="D28" s="16"/>
      <c r="E28" s="16"/>
      <c r="F28" s="16"/>
      <c r="G28" s="18"/>
      <c r="H28" s="18"/>
      <c r="I28" s="24"/>
      <c r="J28" s="28"/>
      <c r="K28" s="36"/>
      <c r="L28" s="36"/>
    </row>
    <row r="29" customHeight="1" spans="1:12">
      <c r="A29" s="14" t="str">
        <f t="shared" si="0"/>
        <v>0x00000084</v>
      </c>
      <c r="B29" s="15">
        <f>SUM_HEX(C28:F28,B28,3)</f>
        <v>132</v>
      </c>
      <c r="C29" s="16" t="s">
        <v>606</v>
      </c>
      <c r="D29" s="16" t="s">
        <v>148</v>
      </c>
      <c r="E29" s="16"/>
      <c r="F29" s="16"/>
      <c r="G29" s="18"/>
      <c r="H29" s="18"/>
      <c r="I29" s="24"/>
      <c r="J29" s="28"/>
      <c r="K29" s="36"/>
      <c r="L29" s="36"/>
    </row>
    <row r="30" customHeight="1" spans="1:12">
      <c r="A30" s="14" t="str">
        <f t="shared" si="0"/>
        <v>0x0000008C</v>
      </c>
      <c r="B30" s="15">
        <f>SUM_HEX(C29:F29,B29,3)</f>
        <v>140</v>
      </c>
      <c r="C30" s="16" t="s">
        <v>274</v>
      </c>
      <c r="D30" s="16"/>
      <c r="E30" s="16"/>
      <c r="F30" s="16"/>
      <c r="G30" s="18"/>
      <c r="H30" s="18"/>
      <c r="I30" s="24"/>
      <c r="J30" s="28"/>
      <c r="K30" s="38"/>
      <c r="L30" s="38"/>
    </row>
    <row r="31" customHeight="1" spans="1:12">
      <c r="A31" s="14" t="str">
        <f t="shared" si="0"/>
        <v>0x00000090</v>
      </c>
      <c r="B31" s="15">
        <f>SUM_HEX(C30:F30,B30,3)</f>
        <v>144</v>
      </c>
      <c r="C31" s="16" t="s">
        <v>22</v>
      </c>
      <c r="D31" s="16"/>
      <c r="E31" s="16"/>
      <c r="F31" s="16"/>
      <c r="G31" s="18" t="s">
        <v>157</v>
      </c>
      <c r="H31" s="18" t="s">
        <v>212</v>
      </c>
      <c r="I31" s="24" t="s">
        <v>607</v>
      </c>
      <c r="J31" s="28"/>
      <c r="K31" s="34" t="s">
        <v>594</v>
      </c>
      <c r="L31" s="34" t="s">
        <v>272</v>
      </c>
    </row>
    <row r="32" customHeight="1" spans="1:12">
      <c r="A32" s="14" t="str">
        <f t="shared" si="0"/>
        <v>0x00000094</v>
      </c>
      <c r="B32" s="15">
        <f>SUM_HEX(C31:F31,B31,3)</f>
        <v>148</v>
      </c>
      <c r="C32" s="16" t="s">
        <v>608</v>
      </c>
      <c r="D32" s="16"/>
      <c r="E32" s="16"/>
      <c r="F32" s="16"/>
      <c r="G32" s="18"/>
      <c r="H32" s="18"/>
      <c r="I32" s="24"/>
      <c r="J32" s="28"/>
      <c r="K32" s="36"/>
      <c r="L32" s="36"/>
    </row>
    <row r="33" customHeight="1" spans="1:12">
      <c r="A33" s="14" t="str">
        <f t="shared" si="0"/>
        <v>0x00000098</v>
      </c>
      <c r="B33" s="15">
        <f>SUM_HEX(C32:F32,B32,3)</f>
        <v>152</v>
      </c>
      <c r="C33" s="16" t="s">
        <v>609</v>
      </c>
      <c r="D33" s="16" t="s">
        <v>610</v>
      </c>
      <c r="E33" s="16"/>
      <c r="F33" s="16"/>
      <c r="G33" s="18"/>
      <c r="H33" s="18"/>
      <c r="I33" s="24"/>
      <c r="J33" s="28"/>
      <c r="K33" s="36"/>
      <c r="L33" s="36"/>
    </row>
    <row r="34" customHeight="1" spans="1:12">
      <c r="A34" s="14" t="str">
        <f t="shared" si="0"/>
        <v>0x000000A0</v>
      </c>
      <c r="B34" s="15">
        <f>SUM_HEX(C33:F33,B33,3)</f>
        <v>160</v>
      </c>
      <c r="C34" s="16" t="s">
        <v>274</v>
      </c>
      <c r="D34" s="16"/>
      <c r="E34" s="16"/>
      <c r="F34" s="16"/>
      <c r="G34" s="18"/>
      <c r="H34" s="18"/>
      <c r="I34" s="24"/>
      <c r="J34" s="28"/>
      <c r="K34" s="38"/>
      <c r="L34" s="38"/>
    </row>
    <row r="35" customHeight="1" spans="1:12">
      <c r="A35" s="14" t="str">
        <f t="shared" si="0"/>
        <v>0x000000A4</v>
      </c>
      <c r="B35" s="15">
        <f>SUM_HEX(C34:F34,B34,3)</f>
        <v>164</v>
      </c>
      <c r="C35" s="16" t="s">
        <v>147</v>
      </c>
      <c r="D35" s="16"/>
      <c r="E35" s="16"/>
      <c r="F35" s="16"/>
      <c r="G35" s="18" t="s">
        <v>157</v>
      </c>
      <c r="H35" s="18" t="s">
        <v>212</v>
      </c>
      <c r="I35" s="24" t="s">
        <v>611</v>
      </c>
      <c r="J35" s="33"/>
      <c r="K35" s="34" t="s">
        <v>594</v>
      </c>
      <c r="L35" s="34"/>
    </row>
    <row r="36" customHeight="1" spans="1:12">
      <c r="A36" s="14" t="str">
        <f t="shared" si="0"/>
        <v>0x000000A8</v>
      </c>
      <c r="B36" s="15">
        <f>SUM_HEX(C35:F35,B35,3)</f>
        <v>168</v>
      </c>
      <c r="C36" s="16" t="s">
        <v>612</v>
      </c>
      <c r="D36" s="16"/>
      <c r="E36" s="16"/>
      <c r="F36" s="16"/>
      <c r="G36" s="18"/>
      <c r="H36" s="18"/>
      <c r="I36" s="24"/>
      <c r="J36" s="35"/>
      <c r="K36" s="36"/>
      <c r="L36" s="36"/>
    </row>
    <row r="37" customHeight="1" spans="1:12">
      <c r="A37" s="14" t="str">
        <f t="shared" ref="A37:A54" si="1">"0x"&amp;DEC2HEX(B37,8)</f>
        <v>0x000000AC</v>
      </c>
      <c r="B37" s="15">
        <f>SUM_HEX(C36:F36,B36,3)</f>
        <v>172</v>
      </c>
      <c r="C37" s="16" t="s">
        <v>23</v>
      </c>
      <c r="D37" s="16" t="s">
        <v>23</v>
      </c>
      <c r="E37" s="16"/>
      <c r="F37" s="16"/>
      <c r="G37" s="18"/>
      <c r="H37" s="18"/>
      <c r="I37" s="24"/>
      <c r="J37" s="35"/>
      <c r="K37" s="36"/>
      <c r="L37" s="36"/>
    </row>
    <row r="38" customHeight="1" spans="1:12">
      <c r="A38" s="14" t="str">
        <f t="shared" si="1"/>
        <v>0x000000B4</v>
      </c>
      <c r="B38" s="15">
        <f>SUM_HEX(C37:F37,B37,3)</f>
        <v>180</v>
      </c>
      <c r="C38" s="16" t="s">
        <v>274</v>
      </c>
      <c r="D38" s="16"/>
      <c r="E38" s="16"/>
      <c r="F38" s="16"/>
      <c r="G38" s="18"/>
      <c r="H38" s="18"/>
      <c r="I38" s="24"/>
      <c r="J38" s="37"/>
      <c r="K38" s="38"/>
      <c r="L38" s="38"/>
    </row>
    <row r="39" customHeight="1" spans="1:12">
      <c r="A39" s="14" t="str">
        <f t="shared" si="1"/>
        <v>0x000000B8</v>
      </c>
      <c r="B39" s="15">
        <f>SUM_HEX(C38:F38,B38,3)</f>
        <v>184</v>
      </c>
      <c r="C39" s="16" t="s">
        <v>147</v>
      </c>
      <c r="D39" s="16"/>
      <c r="E39" s="16"/>
      <c r="F39" s="16"/>
      <c r="G39" s="18" t="s">
        <v>157</v>
      </c>
      <c r="H39" s="18" t="s">
        <v>212</v>
      </c>
      <c r="I39" s="24" t="s">
        <v>613</v>
      </c>
      <c r="J39" s="33"/>
      <c r="K39" s="34" t="s">
        <v>594</v>
      </c>
      <c r="L39" s="34"/>
    </row>
    <row r="40" customHeight="1" spans="1:12">
      <c r="A40" s="14" t="str">
        <f t="shared" si="1"/>
        <v>0x000000BC</v>
      </c>
      <c r="B40" s="15">
        <f>SUM_HEX(C39:F39,B39,3)</f>
        <v>188</v>
      </c>
      <c r="C40" s="16" t="s">
        <v>614</v>
      </c>
      <c r="D40" s="16"/>
      <c r="E40" s="16"/>
      <c r="F40" s="16"/>
      <c r="G40" s="18"/>
      <c r="H40" s="18"/>
      <c r="I40" s="24"/>
      <c r="J40" s="35"/>
      <c r="K40" s="36"/>
      <c r="L40" s="36"/>
    </row>
    <row r="41" customHeight="1" spans="1:12">
      <c r="A41" s="14" t="str">
        <f t="shared" si="1"/>
        <v>0x000000C0</v>
      </c>
      <c r="B41" s="15">
        <f>SUM_HEX(C40:F40,B40,3)</f>
        <v>192</v>
      </c>
      <c r="C41" s="16" t="s">
        <v>23</v>
      </c>
      <c r="D41" s="16" t="s">
        <v>23</v>
      </c>
      <c r="E41" s="16"/>
      <c r="F41" s="16"/>
      <c r="G41" s="18"/>
      <c r="H41" s="18"/>
      <c r="I41" s="24"/>
      <c r="J41" s="35"/>
      <c r="K41" s="36"/>
      <c r="L41" s="36"/>
    </row>
    <row r="42" customHeight="1" spans="1:12">
      <c r="A42" s="14" t="str">
        <f t="shared" si="1"/>
        <v>0x000000C8</v>
      </c>
      <c r="B42" s="15">
        <f>SUM_HEX(C41:F41,B41,3)</f>
        <v>200</v>
      </c>
      <c r="C42" s="16" t="s">
        <v>274</v>
      </c>
      <c r="D42" s="16"/>
      <c r="E42" s="16"/>
      <c r="F42" s="16"/>
      <c r="G42" s="18"/>
      <c r="H42" s="18"/>
      <c r="I42" s="24"/>
      <c r="J42" s="37"/>
      <c r="K42" s="38"/>
      <c r="L42" s="38"/>
    </row>
    <row r="43" customHeight="1" spans="1:12">
      <c r="A43" s="14" t="str">
        <f t="shared" si="1"/>
        <v>0x000000CC</v>
      </c>
      <c r="B43" s="15">
        <f>SUM_HEX(C42:F42,B42,3)</f>
        <v>204</v>
      </c>
      <c r="C43" s="16" t="s">
        <v>22</v>
      </c>
      <c r="D43" s="16"/>
      <c r="E43" s="16"/>
      <c r="F43" s="16"/>
      <c r="G43" s="18" t="s">
        <v>157</v>
      </c>
      <c r="H43" s="18" t="s">
        <v>212</v>
      </c>
      <c r="I43" s="24" t="s">
        <v>615</v>
      </c>
      <c r="J43" s="33"/>
      <c r="K43" s="34" t="s">
        <v>222</v>
      </c>
      <c r="L43" s="34"/>
    </row>
    <row r="44" customHeight="1" spans="1:12">
      <c r="A44" s="14" t="str">
        <f t="shared" si="1"/>
        <v>0x000000D0</v>
      </c>
      <c r="B44" s="15">
        <f>SUM_HEX(C43:F43,B43,3)</f>
        <v>208</v>
      </c>
      <c r="C44" s="16" t="s">
        <v>616</v>
      </c>
      <c r="D44" s="16"/>
      <c r="E44" s="16"/>
      <c r="F44" s="16"/>
      <c r="G44" s="18"/>
      <c r="H44" s="18"/>
      <c r="I44" s="24"/>
      <c r="J44" s="35"/>
      <c r="K44" s="36"/>
      <c r="L44" s="36"/>
    </row>
    <row r="45" customHeight="1" spans="1:12">
      <c r="A45" s="14" t="str">
        <f t="shared" si="1"/>
        <v>0x000000D4</v>
      </c>
      <c r="B45" s="15">
        <f>SUM_HEX(C44:F44,B44,3)</f>
        <v>212</v>
      </c>
      <c r="C45" s="16" t="s">
        <v>23</v>
      </c>
      <c r="D45" s="16" t="s">
        <v>23</v>
      </c>
      <c r="E45" s="16"/>
      <c r="F45" s="16"/>
      <c r="G45" s="18"/>
      <c r="H45" s="18"/>
      <c r="I45" s="24"/>
      <c r="J45" s="35"/>
      <c r="K45" s="36"/>
      <c r="L45" s="36"/>
    </row>
    <row r="46" customHeight="1" spans="1:12">
      <c r="A46" s="14" t="str">
        <f t="shared" si="1"/>
        <v>0x000000DC</v>
      </c>
      <c r="B46" s="15">
        <f>SUM_HEX(C45:F45,B45,3)</f>
        <v>220</v>
      </c>
      <c r="C46" s="16" t="s">
        <v>274</v>
      </c>
      <c r="D46" s="16"/>
      <c r="E46" s="16"/>
      <c r="F46" s="16"/>
      <c r="G46" s="18"/>
      <c r="H46" s="18"/>
      <c r="I46" s="24"/>
      <c r="J46" s="37"/>
      <c r="K46" s="38"/>
      <c r="L46" s="38"/>
    </row>
    <row r="47" customHeight="1" spans="1:12">
      <c r="A47" s="14" t="str">
        <f t="shared" si="1"/>
        <v>0x000000E0</v>
      </c>
      <c r="B47" s="15">
        <f>SUM_HEX(C46:F46,B46,3)</f>
        <v>224</v>
      </c>
      <c r="C47" s="16" t="s">
        <v>147</v>
      </c>
      <c r="D47" s="16"/>
      <c r="E47" s="16"/>
      <c r="F47" s="16"/>
      <c r="G47" s="18" t="s">
        <v>157</v>
      </c>
      <c r="H47" s="18" t="s">
        <v>212</v>
      </c>
      <c r="I47" s="24" t="s">
        <v>617</v>
      </c>
      <c r="J47" s="33"/>
      <c r="K47" s="34" t="s">
        <v>594</v>
      </c>
      <c r="L47" s="34"/>
    </row>
    <row r="48" customHeight="1" spans="1:12">
      <c r="A48" s="14" t="str">
        <f t="shared" si="1"/>
        <v>0x000000E4</v>
      </c>
      <c r="B48" s="15">
        <f>SUM_HEX(C47:F47,B47,3)</f>
        <v>228</v>
      </c>
      <c r="C48" s="16" t="s">
        <v>618</v>
      </c>
      <c r="D48" s="16"/>
      <c r="E48" s="16"/>
      <c r="F48" s="16"/>
      <c r="G48" s="18"/>
      <c r="H48" s="18"/>
      <c r="I48" s="24"/>
      <c r="J48" s="35"/>
      <c r="K48" s="36"/>
      <c r="L48" s="36"/>
    </row>
    <row r="49" customHeight="1" spans="1:12">
      <c r="A49" s="14" t="str">
        <f t="shared" si="1"/>
        <v>0x000000E8</v>
      </c>
      <c r="B49" s="15">
        <f>SUM_HEX(C48:F48,B48,3)</f>
        <v>232</v>
      </c>
      <c r="C49" s="16" t="s">
        <v>148</v>
      </c>
      <c r="D49" s="16" t="s">
        <v>148</v>
      </c>
      <c r="E49" s="16"/>
      <c r="F49" s="16"/>
      <c r="G49" s="18"/>
      <c r="H49" s="18"/>
      <c r="I49" s="24"/>
      <c r="J49" s="35"/>
      <c r="K49" s="36"/>
      <c r="L49" s="36"/>
    </row>
    <row r="50" customHeight="1" spans="1:12">
      <c r="A50" s="14" t="str">
        <f t="shared" si="1"/>
        <v>0x000000F0</v>
      </c>
      <c r="B50" s="15">
        <f>SUM_HEX(C49:F49,B49,3)</f>
        <v>240</v>
      </c>
      <c r="C50" s="16" t="s">
        <v>274</v>
      </c>
      <c r="D50" s="16"/>
      <c r="E50" s="16"/>
      <c r="F50" s="16"/>
      <c r="G50" s="18"/>
      <c r="H50" s="18"/>
      <c r="I50" s="24"/>
      <c r="J50" s="37"/>
      <c r="K50" s="38"/>
      <c r="L50" s="38"/>
    </row>
    <row r="51" customHeight="1" spans="1:12">
      <c r="A51" s="14" t="str">
        <f t="shared" si="1"/>
        <v>0x000000F4</v>
      </c>
      <c r="B51" s="15">
        <f>SUM_HEX(C50:F50,B50,3)</f>
        <v>244</v>
      </c>
      <c r="C51" s="16" t="s">
        <v>147</v>
      </c>
      <c r="D51" s="16"/>
      <c r="E51" s="16"/>
      <c r="F51" s="16"/>
      <c r="G51" s="18" t="s">
        <v>157</v>
      </c>
      <c r="H51" s="18" t="s">
        <v>212</v>
      </c>
      <c r="I51" s="24" t="s">
        <v>619</v>
      </c>
      <c r="J51" s="33"/>
      <c r="K51" s="34" t="s">
        <v>594</v>
      </c>
      <c r="L51" s="39"/>
    </row>
    <row r="52" customHeight="1" spans="1:12">
      <c r="A52" s="14" t="str">
        <f t="shared" si="1"/>
        <v>0x000000F8</v>
      </c>
      <c r="B52" s="15">
        <f>SUM_HEX(C51:F51,B51,3)</f>
        <v>248</v>
      </c>
      <c r="C52" s="16" t="s">
        <v>620</v>
      </c>
      <c r="D52" s="16"/>
      <c r="E52" s="16"/>
      <c r="F52" s="16"/>
      <c r="G52" s="18"/>
      <c r="H52" s="18"/>
      <c r="I52" s="24"/>
      <c r="J52" s="35"/>
      <c r="K52" s="36"/>
      <c r="L52" s="40"/>
    </row>
    <row r="53" customHeight="1" spans="1:12">
      <c r="A53" s="14" t="str">
        <f t="shared" si="1"/>
        <v>0x000000FC</v>
      </c>
      <c r="B53" s="15">
        <f>SUM_HEX(C52:F52,B52,3)</f>
        <v>252</v>
      </c>
      <c r="C53" s="16" t="s">
        <v>621</v>
      </c>
      <c r="D53" s="16" t="s">
        <v>621</v>
      </c>
      <c r="E53" s="16"/>
      <c r="F53" s="16"/>
      <c r="G53" s="18"/>
      <c r="H53" s="18"/>
      <c r="I53" s="24"/>
      <c r="J53" s="35"/>
      <c r="K53" s="36"/>
      <c r="L53" s="40"/>
    </row>
    <row r="54" customHeight="1" spans="1:12">
      <c r="A54" s="14" t="str">
        <f t="shared" si="1"/>
        <v>0x00000104</v>
      </c>
      <c r="B54" s="15">
        <f>SUM_HEX(C53:F53,B53,3)</f>
        <v>260</v>
      </c>
      <c r="C54" s="16" t="s">
        <v>274</v>
      </c>
      <c r="D54" s="16"/>
      <c r="E54" s="16"/>
      <c r="F54" s="16"/>
      <c r="G54" s="18"/>
      <c r="H54" s="18"/>
      <c r="I54" s="24"/>
      <c r="J54" s="37"/>
      <c r="K54" s="38"/>
      <c r="L54" s="41"/>
    </row>
  </sheetData>
  <mergeCells count="122">
    <mergeCell ref="A2:B2"/>
    <mergeCell ref="C2:F2"/>
    <mergeCell ref="G2:H2"/>
    <mergeCell ref="N2:AI2"/>
    <mergeCell ref="G3:H3"/>
    <mergeCell ref="N3:AI3"/>
    <mergeCell ref="N4:AI4"/>
    <mergeCell ref="N5:AI5"/>
    <mergeCell ref="N6:AI6"/>
    <mergeCell ref="N7:AI7"/>
    <mergeCell ref="N8:AI8"/>
    <mergeCell ref="G9:H9"/>
    <mergeCell ref="G10:H10"/>
    <mergeCell ref="N11:AI11"/>
    <mergeCell ref="N12:AI12"/>
    <mergeCell ref="N13:AI13"/>
    <mergeCell ref="N14:AI14"/>
    <mergeCell ref="N15:AI15"/>
    <mergeCell ref="N16:AI16"/>
    <mergeCell ref="N17:AI17"/>
    <mergeCell ref="N18:AI18"/>
    <mergeCell ref="N19:AI19"/>
    <mergeCell ref="N20:AI20"/>
    <mergeCell ref="N21:AI21"/>
    <mergeCell ref="N22:AI22"/>
    <mergeCell ref="N23:AI23"/>
    <mergeCell ref="N24:AI24"/>
    <mergeCell ref="N25:AI25"/>
    <mergeCell ref="N26:AI26"/>
    <mergeCell ref="N27:AI27"/>
    <mergeCell ref="N28:AI28"/>
    <mergeCell ref="N29:AI29"/>
    <mergeCell ref="N30:AI30"/>
    <mergeCell ref="N31:AI31"/>
    <mergeCell ref="N32:AI32"/>
    <mergeCell ref="N33:AI33"/>
    <mergeCell ref="N34:AI34"/>
    <mergeCell ref="N35:AI35"/>
    <mergeCell ref="N36:AI36"/>
    <mergeCell ref="N37:AI37"/>
    <mergeCell ref="N38:AI38"/>
    <mergeCell ref="N39:AI39"/>
    <mergeCell ref="N40:AI40"/>
    <mergeCell ref="N41:AI41"/>
    <mergeCell ref="N42:AI42"/>
    <mergeCell ref="N43:AI43"/>
    <mergeCell ref="N44:AI44"/>
    <mergeCell ref="N45:AI45"/>
    <mergeCell ref="N46:AI46"/>
    <mergeCell ref="N47:AI47"/>
    <mergeCell ref="G5:G8"/>
    <mergeCell ref="G11:G14"/>
    <mergeCell ref="G15:G18"/>
    <mergeCell ref="G19:G22"/>
    <mergeCell ref="G23:G26"/>
    <mergeCell ref="G27:G30"/>
    <mergeCell ref="G31:G34"/>
    <mergeCell ref="G35:G38"/>
    <mergeCell ref="G39:G42"/>
    <mergeCell ref="G43:G46"/>
    <mergeCell ref="G47:G50"/>
    <mergeCell ref="G51:G54"/>
    <mergeCell ref="H5:H8"/>
    <mergeCell ref="H11:H14"/>
    <mergeCell ref="H15:H18"/>
    <mergeCell ref="H19:H22"/>
    <mergeCell ref="H23:H26"/>
    <mergeCell ref="H27:H30"/>
    <mergeCell ref="H31:H34"/>
    <mergeCell ref="H35:H38"/>
    <mergeCell ref="H39:H42"/>
    <mergeCell ref="H43:H46"/>
    <mergeCell ref="H47:H50"/>
    <mergeCell ref="H51:H54"/>
    <mergeCell ref="I5:I8"/>
    <mergeCell ref="I11:I14"/>
    <mergeCell ref="I15:I18"/>
    <mergeCell ref="I19:I22"/>
    <mergeCell ref="I23:I26"/>
    <mergeCell ref="I27:I30"/>
    <mergeCell ref="I31:I34"/>
    <mergeCell ref="I35:I38"/>
    <mergeCell ref="I39:I42"/>
    <mergeCell ref="I43:I46"/>
    <mergeCell ref="I47:I50"/>
    <mergeCell ref="I51:I54"/>
    <mergeCell ref="J5:J8"/>
    <mergeCell ref="J11:J14"/>
    <mergeCell ref="J15:J18"/>
    <mergeCell ref="J19:J22"/>
    <mergeCell ref="J23:J26"/>
    <mergeCell ref="J27:J30"/>
    <mergeCell ref="J31:J34"/>
    <mergeCell ref="J35:J38"/>
    <mergeCell ref="J39:J42"/>
    <mergeCell ref="J43:J46"/>
    <mergeCell ref="J47:J50"/>
    <mergeCell ref="J51:J54"/>
    <mergeCell ref="K5:K8"/>
    <mergeCell ref="K11:K14"/>
    <mergeCell ref="K15:K18"/>
    <mergeCell ref="K19:K22"/>
    <mergeCell ref="K23:K26"/>
    <mergeCell ref="K27:K30"/>
    <mergeCell ref="K31:K34"/>
    <mergeCell ref="K35:K38"/>
    <mergeCell ref="K39:K42"/>
    <mergeCell ref="K43:K46"/>
    <mergeCell ref="K47:K50"/>
    <mergeCell ref="K51:K54"/>
    <mergeCell ref="L5:L8"/>
    <mergeCell ref="L11:L14"/>
    <mergeCell ref="L15:L18"/>
    <mergeCell ref="L19:L22"/>
    <mergeCell ref="L23:L26"/>
    <mergeCell ref="L27:L30"/>
    <mergeCell ref="L31:L34"/>
    <mergeCell ref="L35:L38"/>
    <mergeCell ref="L39:L42"/>
    <mergeCell ref="L43:L46"/>
    <mergeCell ref="L47:L50"/>
    <mergeCell ref="L51:L54"/>
  </mergeCells>
  <pageMargins left="0.75" right="0.75" top="1" bottom="1" header="0.5" footer="0.5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AI7"/>
  <sheetViews>
    <sheetView tabSelected="1" workbookViewId="0">
      <selection activeCell="F26" sqref="F26"/>
    </sheetView>
  </sheetViews>
  <sheetFormatPr defaultColWidth="9" defaultRowHeight="13.5" customHeight="1" outlineLevelRow="6"/>
  <cols>
    <col min="1" max="1" width="11.25" style="1" customWidth="1"/>
    <col min="2" max="2" width="7.625" style="2" customWidth="1"/>
    <col min="3" max="6" width="9.625" style="3" customWidth="1"/>
    <col min="7" max="8" width="8.625" style="4" customWidth="1"/>
    <col min="9" max="9" width="20.125" style="5" customWidth="1"/>
    <col min="10" max="10" width="58.875" style="4" customWidth="1"/>
    <col min="11" max="11" width="15.125" style="4" customWidth="1"/>
    <col min="12" max="12" width="9" style="3"/>
    <col min="13" max="13" width="3.625" style="6" customWidth="1"/>
    <col min="14" max="16384" width="9" style="4"/>
  </cols>
  <sheetData>
    <row r="1" customHeight="1" spans="1:14">
      <c r="A1" s="7" t="s">
        <v>622</v>
      </c>
      <c r="B1" s="8" t="s">
        <v>27</v>
      </c>
      <c r="C1" s="9" t="s">
        <v>623</v>
      </c>
      <c r="N1" s="19" t="s">
        <v>1</v>
      </c>
    </row>
    <row r="2" customHeight="1" spans="1:14">
      <c r="A2" s="10" t="s">
        <v>2</v>
      </c>
      <c r="B2" s="11"/>
      <c r="C2" s="12" t="s">
        <v>3</v>
      </c>
      <c r="D2" s="12"/>
      <c r="E2" s="12"/>
      <c r="F2" s="12"/>
      <c r="G2" s="13" t="s">
        <v>4</v>
      </c>
      <c r="H2" s="13"/>
      <c r="I2" s="20" t="s">
        <v>5</v>
      </c>
      <c r="J2" s="13" t="s">
        <v>6</v>
      </c>
      <c r="K2" s="13" t="s">
        <v>7</v>
      </c>
      <c r="L2" s="21" t="s">
        <v>8</v>
      </c>
      <c r="N2" s="4" t="str">
        <f>TO_HTML_TABLE(A2:L2)</f>
        <v>&lt;tr&gt;&lt;td colspan="2"&gt;Offset&lt;/td&gt;&lt;td colspan="4"&gt;HEX&lt;/td&gt;&lt;td colspan="2"&gt;Type&lt;/td&gt;&lt;td&gt;Name&lt;/td&gt;&lt;td&gt;Description&lt;/td&gt;&lt;td&gt;Bound&lt;/td&gt;&lt;td&gt;ToMax&lt;/td&gt;&lt;/tr&gt;</v>
      </c>
    </row>
    <row r="3" customHeight="1" spans="1:12">
      <c r="A3" s="14" t="str">
        <f>"0x"&amp;DEC2HEX(B3,8)</f>
        <v>0x00000000</v>
      </c>
      <c r="B3" s="15">
        <f>0</f>
        <v>0</v>
      </c>
      <c r="C3" s="16" t="s">
        <v>23</v>
      </c>
      <c r="D3" s="16"/>
      <c r="E3" s="16"/>
      <c r="F3" s="16"/>
      <c r="G3" s="17" t="s">
        <v>15</v>
      </c>
      <c r="H3" s="17"/>
      <c r="I3" s="22"/>
      <c r="J3" s="17"/>
      <c r="K3" s="17"/>
      <c r="L3" s="23"/>
    </row>
    <row r="4" customHeight="1" spans="1:12">
      <c r="A4" s="14" t="str">
        <f>"0x"&amp;DEC2HEX(B4,8)</f>
        <v>0x00000004</v>
      </c>
      <c r="B4" s="15">
        <f>SUM_HEX(C3:F3,B3,3)</f>
        <v>4</v>
      </c>
      <c r="C4" s="16" t="s">
        <v>624</v>
      </c>
      <c r="D4" s="16"/>
      <c r="E4" s="16"/>
      <c r="F4" s="16"/>
      <c r="G4" s="18" t="s">
        <v>388</v>
      </c>
      <c r="H4" s="18"/>
      <c r="I4" s="24" t="s">
        <v>625</v>
      </c>
      <c r="J4" s="18"/>
      <c r="K4" s="18" t="s">
        <v>21</v>
      </c>
      <c r="L4" s="25" t="s">
        <v>280</v>
      </c>
    </row>
    <row r="5" customHeight="1" spans="1:12">
      <c r="A5" s="14" t="str">
        <f>"0x"&amp;DEC2HEX(B5,8)</f>
        <v>0x00000006</v>
      </c>
      <c r="B5" s="15">
        <f>SUM_HEX(C4:F4,B4,3)</f>
        <v>6</v>
      </c>
      <c r="C5" s="16" t="s">
        <v>23</v>
      </c>
      <c r="D5" s="16"/>
      <c r="E5" s="16"/>
      <c r="F5" s="16"/>
      <c r="G5" s="17" t="s">
        <v>15</v>
      </c>
      <c r="H5" s="17"/>
      <c r="I5" s="22"/>
      <c r="J5" s="17"/>
      <c r="K5" s="17"/>
      <c r="L5" s="23"/>
    </row>
    <row r="6" customHeight="1" spans="1:12">
      <c r="A6" s="14" t="str">
        <f>"0x"&amp;DEC2HEX(B6,8)</f>
        <v>0x0000000A</v>
      </c>
      <c r="B6" s="15">
        <f>SUM_HEX(C5:F5,B5,3)</f>
        <v>10</v>
      </c>
      <c r="C6" s="16" t="s">
        <v>626</v>
      </c>
      <c r="D6" s="16"/>
      <c r="E6" s="16"/>
      <c r="F6" s="16"/>
      <c r="G6" s="18" t="s">
        <v>388</v>
      </c>
      <c r="H6" s="18"/>
      <c r="I6" s="24" t="s">
        <v>281</v>
      </c>
      <c r="J6" s="18"/>
      <c r="K6" s="18" t="s">
        <v>21</v>
      </c>
      <c r="L6" s="25" t="s">
        <v>280</v>
      </c>
    </row>
    <row r="7" customHeight="1" spans="1:12">
      <c r="A7" s="14" t="str">
        <f>"0x"&amp;DEC2HEX(B7,8)</f>
        <v>0x0000000C</v>
      </c>
      <c r="B7" s="15">
        <f>SUM_HEX(C6:F6,B6,3)</f>
        <v>12</v>
      </c>
      <c r="C7" s="16" t="s">
        <v>627</v>
      </c>
      <c r="D7" s="16"/>
      <c r="E7" s="16"/>
      <c r="F7" s="16"/>
      <c r="G7" s="18" t="s">
        <v>388</v>
      </c>
      <c r="H7" s="18"/>
      <c r="I7" s="24" t="s">
        <v>279</v>
      </c>
      <c r="J7" s="18"/>
      <c r="K7" s="18" t="s">
        <v>21</v>
      </c>
      <c r="L7" s="25" t="s">
        <v>280</v>
      </c>
    </row>
  </sheetData>
  <mergeCells count="14">
    <mergeCell ref="A2:B2"/>
    <mergeCell ref="C2:F2"/>
    <mergeCell ref="G2:H2"/>
    <mergeCell ref="N2:AI2"/>
    <mergeCell ref="G3:H3"/>
    <mergeCell ref="N3:AI3"/>
    <mergeCell ref="G4:H4"/>
    <mergeCell ref="N4:AI4"/>
    <mergeCell ref="G5:H5"/>
    <mergeCell ref="N5:AI5"/>
    <mergeCell ref="G6:H6"/>
    <mergeCell ref="N6:AI6"/>
    <mergeCell ref="G7:H7"/>
    <mergeCell ref="N7:AI7"/>
  </mergeCells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FIleHeader</vt:lpstr>
      <vt:lpstr>StandardMat</vt:lpstr>
      <vt:lpstr>Particle</vt:lpstr>
      <vt:lpstr>Light</vt:lpstr>
      <vt:lpstr>Camera</vt:lpstr>
      <vt:lpstr>MeshExtraInfo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dw</dc:creator>
  <cp:lastModifiedBy>dw</cp:lastModifiedBy>
  <dcterms:created xsi:type="dcterms:W3CDTF">2019-05-21T10:19:00Z</dcterms:created>
  <dcterms:modified xsi:type="dcterms:W3CDTF">2019-06-16T14:44:08Z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2052-11.1.0.8806</vt:lpwstr>
  </property>
</Properties>
</file>